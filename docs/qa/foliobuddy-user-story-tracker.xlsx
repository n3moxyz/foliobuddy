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b9f919a53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b6ee52efdb48c0"/>
    <x:sheet xmlns:r="http://schemas.openxmlformats.org/officeDocument/2006/relationships" name="Stories" sheetId="2" r:id="R140987fe21414026"/>
    <x:sheet xmlns:r="http://schemas.openxmlformats.org/officeDocument/2006/relationships" name="Defects" sheetId="3" r:id="Rb77af5d8ec1c4292"/>
    <x:sheet xmlns:r="http://schemas.openxmlformats.org/officeDocument/2006/relationships" name="Evidence" sheetId="4" r:id="R707c1c6c804d4151"/>
    <x:sheet xmlns:r="http://schemas.openxmlformats.org/officeDocument/2006/relationships" name="Legend" sheetId="5" r:id="R44df9a1883a9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6534"/>
      <x:name val="Carlito"/>
    </x:font>
    <x:font>
      <x:b/>
      <x:sz val="11"/>
      <x:color rgb="FF0759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E0F2FE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dea58cb4c4084" /><Relationship Type="http://schemas.openxmlformats.org/officeDocument/2006/relationships/theme" Target="/xl/theme/theme1.xml" Id="Rbcf3c93c942543da" /><Relationship Type="http://schemas.openxmlformats.org/officeDocument/2006/relationships/sharedStrings" Target="/xl/sharedStrings.xml" Id="R1a53fd708bb64017" /><Relationship Type="http://schemas.openxmlformats.org/officeDocument/2006/relationships/worksheet" Target="/xl/worksheets/sheet1.xml" Id="R13b6ee52efdb48c0" /><Relationship Type="http://schemas.openxmlformats.org/officeDocument/2006/relationships/worksheet" Target="/xl/worksheets/sheet2.xml" Id="R140987fe21414026" /><Relationship Type="http://schemas.openxmlformats.org/officeDocument/2006/relationships/worksheet" Target="/xl/worksheets/sheet3.xml" Id="Rb77af5d8ec1c4292" /><Relationship Type="http://schemas.openxmlformats.org/officeDocument/2006/relationships/worksheet" Target="/xl/worksheets/sheet4.xml" Id="R707c1c6c804d4151" /><Relationship Type="http://schemas.openxmlformats.org/officeDocument/2006/relationships/worksheet" Target="/xl/worksheets/sheet5.xml" Id="R44df9a1883a945bc" /></Relationships>
</file>

<file path=xl/tables/table1.xml><?xml version="1.0" encoding="utf-8"?>
<x:table xmlns:x="http://schemas.openxmlformats.org/spreadsheetml/2006/main" id="1" name="StoriesTable" displayName="StoriesTable" ref="A1:P72" headerRowCount="1">
  <x:tableColumns count="16">
    <x:tableColumn id="1" name="Story ID"/>
    <x:tableColumn id="2" name="Feature Area"/>
    <x:tableColumn id="3" name="Route/Surface"/>
    <x:tableColumn id="4" name="Role"/>
    <x:tableColumn id="5" name="User Story"/>
    <x:tableColumn id="6" name="Expected Behavior"/>
    <x:tableColumn id="7" name="Edge Cases"/>
    <x:tableColumn id="8" name="Code Sources"/>
    <x:tableColumn id="9" name="Test Status"/>
    <x:tableColumn id="10" name="Test Method"/>
    <x:tableColumn id="11" name="Evidence"/>
    <x:tableColumn id="12" name="Defect IDs"/>
    <x:tableColumn id="13" name="Fix Status"/>
    <x:tableColumn id="14" name="Retest Status"/>
    <x:tableColumn id="15" name="Last Verified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fectsTable" displayName="DefectsTable" ref="A1:I10" headerRowCount="1">
  <x:tableColumns count="9">
    <x:tableColumn id="1" name="Defect ID"/>
    <x:tableColumn id="2" name="Title"/>
    <x:tableColumn id="3" name="Area"/>
    <x:tableColumn id="4" name="Evidence"/>
    <x:tableColumn id="5" name="Root Cause"/>
    <x:tableColumn id="6" name="Fix"/>
    <x:tableColumn id="7" name="Regression Test"/>
    <x:tableColumn id="8" name="Retest Result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EvidenceTable" displayName="EvidenceTable" ref="A1:F10" headerRowCount="1">
  <x:tableColumns count="6">
    <x:tableColumn id="1" name="Evidence ID"/>
    <x:tableColumn id="2" name="Type"/>
    <x:tableColumn id="3" name="Path or Command"/>
    <x:tableColumn id="4" name="What It Covers"/>
    <x:tableColumn id="5" name="Status"/>
    <x:tableColumn id="6" name="Date"/>
  </x:tableColumns>
  <x:tableStyleInfo name="TableStyleMedium2" showRowStripes="1"/>
</x:table>
</file>

<file path=xl/tables/table4.xml><?xml version="1.0" encoding="utf-8"?>
<x:table xmlns:x="http://schemas.openxmlformats.org/spreadsheetml/2006/main" id="4" name="LegendTable" displayName="LegendTable" ref="A1:C10" headerRowCount="1">
  <x:tableColumns count="3">
    <x:tableColumn id="1" name="Field"/>
    <x:tableColumn id="2" name="Allowed Values"/>
    <x:tableColumn id="3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78c9d6e9ba41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7b89eb55a34d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d92ece05ec4b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19cf0f809247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8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</x:cols>
  <x:sheetData>
    <x:row r="1">
      <x:c r="A1" s="2" t="str">
        <x:v>FolioBuddy User Story Tracker</x:v>
      </x:c>
    </x:row>
    <x:row r="3">
      <x:c r="A3" s="5" t="str">
        <x:v>Metric</x:v>
      </x:c>
      <x:c r="B3" s="5" t="str">
        <x:v>Value</x:v>
      </x:c>
      <x:c r="D3" s="5" t="str">
        <x:v>Area</x:v>
      </x:c>
      <x:c r="E3" s="5" t="str">
        <x:v>Stories</x:v>
      </x:c>
      <x:c r="F3" s="5" t="str">
        <x:v>Pass</x:v>
      </x:c>
      <x:c r="G3" s="5" t="str">
        <x:v>Needs Test</x:v>
      </x:c>
      <x:c r="H3" s="5" t="str">
        <x:v>Fail</x:v>
      </x:c>
    </x:row>
    <x:row r="4">
      <x:c r="A4" s="6" t="str">
        <x:v>Total stories</x:v>
      </x:c>
      <x:c r="B4" s="7" t="n">
        <x:f>COUNTA('Stories'!A2:A72)</x:f>
        <x:v>71</x:v>
      </x:c>
      <x:c r="D4" s="6" t="str">
        <x:v>App Shell</x:v>
      </x:c>
      <x:c r="E4" s="6" t="n">
        <x:f>COUNTIF('Stories'!B$2:B$72,D4)</x:f>
        <x:v>8</x:v>
      </x:c>
      <x:c r="F4" s="6" t="n">
        <x:f>COUNTIFS('Stories'!B$2:B$72,D4,'Stories'!I$2:I$72,"Pass")</x:f>
        <x:v>8</x:v>
      </x:c>
      <x:c r="G4" s="6" t="n">
        <x:f>COUNTIFS('Stories'!B$2:B$72,D4,'Stories'!I$2:I$72,"Needs Test")</x:f>
        <x:v>0</x:v>
      </x:c>
      <x:c r="H4" s="6" t="n">
        <x:f>COUNTIFS('Stories'!B$2:B$72,D4,'Stories'!I$2:I$72,"Fail")</x:f>
        <x:v>0</x:v>
      </x:c>
    </x:row>
    <x:row r="5">
      <x:c r="A5" s="6" t="str">
        <x:v>Pass</x:v>
      </x:c>
      <x:c r="B5" s="7" t="n">
        <x:f>COUNTIF('Stories'!I2:I72,"Pass")</x:f>
        <x:v>71</x:v>
      </x:c>
      <x:c r="D5" s="6" t="str">
        <x:v>Auth and Runtime</x:v>
      </x:c>
      <x:c r="E5" s="6" t="n">
        <x:f>COUNTIF('Stories'!B$2:B$72,D5)</x:f>
        <x:v>5</x:v>
      </x:c>
      <x:c r="F5" s="6" t="n">
        <x:f>COUNTIFS('Stories'!B$2:B$72,D5,'Stories'!I$2:I$72,"Pass")</x:f>
        <x:v>5</x:v>
      </x:c>
      <x:c r="G5" s="6" t="n">
        <x:f>COUNTIFS('Stories'!B$2:B$72,D5,'Stories'!I$2:I$72,"Needs Test")</x:f>
        <x:v>0</x:v>
      </x:c>
      <x:c r="H5" s="6" t="n">
        <x:f>COUNTIFS('Stories'!B$2:B$72,D5,'Stories'!I$2:I$72,"Fail")</x:f>
        <x:v>0</x:v>
      </x:c>
    </x:row>
    <x:row r="6">
      <x:c r="A6" s="6" t="str">
        <x:v>Needs Test</x:v>
      </x:c>
      <x:c r="B6" s="7" t="n">
        <x:f>COUNTIF('Stories'!I2:I72,"Needs Test")</x:f>
        <x:v>0</x:v>
      </x:c>
      <x:c r="D6" s="6" t="str">
        <x:v>Backend API</x:v>
      </x:c>
      <x:c r="E6" s="6" t="n">
        <x:f>COUNTIF('Stories'!B$2:B$72,D6)</x:f>
        <x:v>7</x:v>
      </x:c>
      <x:c r="F6" s="6" t="n">
        <x:f>COUNTIFS('Stories'!B$2:B$72,D6,'Stories'!I$2:I$72,"Pass")</x:f>
        <x:v>7</x:v>
      </x:c>
      <x:c r="G6" s="6" t="n">
        <x:f>COUNTIFS('Stories'!B$2:B$72,D6,'Stories'!I$2:I$72,"Needs Test")</x:f>
        <x:v>0</x:v>
      </x:c>
      <x:c r="H6" s="6" t="n">
        <x:f>COUNTIFS('Stories'!B$2:B$72,D6,'Stories'!I$2:I$72,"Fail")</x:f>
        <x:v>0</x:v>
      </x:c>
    </x:row>
    <x:row r="7">
      <x:c r="A7" s="6" t="str">
        <x:v>Fail</x:v>
      </x:c>
      <x:c r="B7" s="7" t="n">
        <x:f>COUNTIF('Stories'!I2:I72,"Fail")</x:f>
        <x:v>0</x:v>
      </x:c>
      <x:c r="D7" s="6" t="str">
        <x:v>Dashboard</x:v>
      </x:c>
      <x:c r="E7" s="6" t="n">
        <x:f>COUNTIF('Stories'!B$2:B$72,D7)</x:f>
        <x:v>7</x:v>
      </x:c>
      <x:c r="F7" s="6" t="n">
        <x:f>COUNTIFS('Stories'!B$2:B$72,D7,'Stories'!I$2:I$72,"Pass")</x:f>
        <x:v>7</x:v>
      </x:c>
      <x:c r="G7" s="6" t="n">
        <x:f>COUNTIFS('Stories'!B$2:B$72,D7,'Stories'!I$2:I$72,"Needs Test")</x:f>
        <x:v>0</x:v>
      </x:c>
      <x:c r="H7" s="6" t="n">
        <x:f>COUNTIFS('Stories'!B$2:B$72,D7,'Stories'!I$2:I$72,"Fail")</x:f>
        <x:v>0</x:v>
      </x:c>
    </x:row>
    <x:row r="8">
      <x:c r="A8" s="6" t="str">
        <x:v>Blocked</x:v>
      </x:c>
      <x:c r="B8" s="7" t="n">
        <x:f>COUNTIF('Stories'!I2:I72,"Blocked")</x:f>
        <x:v>0</x:v>
      </x:c>
      <x:c r="D8" s="6" t="str">
        <x:v>Dev Demo Mode</x:v>
      </x:c>
      <x:c r="E8" s="6" t="n">
        <x:f>COUNTIF('Stories'!B$2:B$72,D8)</x:f>
        <x:v>2</x:v>
      </x:c>
      <x:c r="F8" s="6" t="n">
        <x:f>COUNTIFS('Stories'!B$2:B$72,D8,'Stories'!I$2:I$72,"Pass")</x:f>
        <x:v>2</x:v>
      </x:c>
      <x:c r="G8" s="6" t="n">
        <x:f>COUNTIFS('Stories'!B$2:B$72,D8,'Stories'!I$2:I$72,"Needs Test")</x:f>
        <x:v>0</x:v>
      </x:c>
      <x:c r="H8" s="6" t="n">
        <x:f>COUNTIFS('Stories'!B$2:B$72,D8,'Stories'!I$2:I$72,"Fail")</x:f>
        <x:v>0</x:v>
      </x:c>
    </x:row>
    <x:row r="9">
      <x:c r="A9" s="6" t="str">
        <x:v>Open defects</x:v>
      </x:c>
      <x:c r="B9" s="7" t="n">
        <x:f>COUNTIF('Defects'!I2:I10,"Open")</x:f>
        <x:v>0</x:v>
      </x:c>
      <x:c r="D9" s="6" t="str">
        <x:v>History</x:v>
      </x:c>
      <x:c r="E9" s="6" t="n">
        <x:f>COUNTIF('Stories'!B$2:B$72,D9)</x:f>
        <x:v>5</x:v>
      </x:c>
      <x:c r="F9" s="6" t="n">
        <x:f>COUNTIFS('Stories'!B$2:B$72,D9,'Stories'!I$2:I$72,"Pass")</x:f>
        <x:v>5</x:v>
      </x:c>
      <x:c r="G9" s="6" t="n">
        <x:f>COUNTIFS('Stories'!B$2:B$72,D9,'Stories'!I$2:I$72,"Needs Test")</x:f>
        <x:v>0</x:v>
      </x:c>
      <x:c r="H9" s="6" t="n">
        <x:f>COUNTIFS('Stories'!B$2:B$72,D9,'Stories'!I$2:I$72,"Fail")</x:f>
        <x:v>0</x:v>
      </x:c>
    </x:row>
    <x:row r="10">
      <x:c r="D10" s="6" t="str">
        <x:v>Investors</x:v>
      </x:c>
      <x:c r="E10" s="6" t="n">
        <x:f>COUNTIF('Stories'!B$2:B$72,D10)</x:f>
        <x:v>4</x:v>
      </x:c>
      <x:c r="F10" s="6" t="n">
        <x:f>COUNTIFS('Stories'!B$2:B$72,D10,'Stories'!I$2:I$72,"Pass")</x:f>
        <x:v>4</x:v>
      </x:c>
      <x:c r="G10" s="6" t="n">
        <x:f>COUNTIFS('Stories'!B$2:B$72,D10,'Stories'!I$2:I$72,"Needs Test")</x:f>
        <x:v>0</x:v>
      </x:c>
      <x:c r="H10" s="6" t="n">
        <x:f>COUNTIFS('Stories'!B$2:B$72,D10,'Stories'!I$2:I$72,"Fail")</x:f>
        <x:v>0</x:v>
      </x:c>
    </x:row>
    <x:row r="11">
      <x:c r="A11" s="8" t="str">
        <x:v>Canonical file</x:v>
      </x:c>
      <x:c r="D11" s="6" t="str">
        <x:v>Operations</x:v>
      </x:c>
      <x:c r="E11" s="6" t="n">
        <x:f>COUNTIF('Stories'!B$2:B$72,D11)</x:f>
        <x:v>3</x:v>
      </x:c>
      <x:c r="F11" s="6" t="n">
        <x:f>COUNTIFS('Stories'!B$2:B$72,D11,'Stories'!I$2:I$72,"Pass")</x:f>
        <x:v>3</x:v>
      </x:c>
      <x:c r="G11" s="6" t="n">
        <x:f>COUNTIFS('Stories'!B$2:B$72,D11,'Stories'!I$2:I$72,"Needs Test")</x:f>
        <x:v>0</x:v>
      </x:c>
      <x:c r="H11" s="6" t="n">
        <x:f>COUNTIFS('Stories'!B$2:B$72,D11,'Stories'!I$2:I$72,"Fail")</x:f>
        <x:v>0</x:v>
      </x:c>
    </x:row>
    <x:row r="12">
      <x:c r="A12" s="8" t="str">
        <x:v>C:\Users\User\dev\ClaudeProjs\projects\foliobuddy\docs\qa\foliobuddy-user-story-tracker.xlsx</x:v>
      </x:c>
      <x:c r="D12" s="6" t="str">
        <x:v>Portfolio</x:v>
      </x:c>
      <x:c r="E12" s="6" t="n">
        <x:f>COUNTIF('Stories'!B$2:B$72,D12)</x:f>
        <x:v>17</x:v>
      </x:c>
      <x:c r="F12" s="6" t="n">
        <x:f>COUNTIFS('Stories'!B$2:B$72,D12,'Stories'!I$2:I$72,"Pass")</x:f>
        <x:v>17</x:v>
      </x:c>
      <x:c r="G12" s="6" t="n">
        <x:f>COUNTIFS('Stories'!B$2:B$72,D12,'Stories'!I$2:I$72,"Needs Test")</x:f>
        <x:v>0</x:v>
      </x:c>
      <x:c r="H12" s="6" t="n">
        <x:f>COUNTIFS('Stories'!B$2:B$72,D12,'Stories'!I$2:I$72,"Fail")</x:f>
        <x:v>0</x:v>
      </x:c>
    </x:row>
    <x:row r="13">
      <x:c r="A13" s="8" t="str">
        <x:v>Latest QA evidence</x:v>
      </x:c>
      <x:c r="D13" s="6" t="str">
        <x:v>Settings</x:v>
      </x:c>
      <x:c r="E13" s="6" t="n">
        <x:f>COUNTIF('Stories'!B$2:B$72,D13)</x:f>
        <x:v>4</x:v>
      </x:c>
      <x:c r="F13" s="6" t="n">
        <x:f>COUNTIFS('Stories'!B$2:B$72,D13,'Stories'!I$2:I$72,"Pass")</x:f>
        <x:v>4</x:v>
      </x:c>
      <x:c r="G13" s="6" t="n">
        <x:f>COUNTIFS('Stories'!B$2:B$72,D13,'Stories'!I$2:I$72,"Needs Test")</x:f>
        <x:v>0</x:v>
      </x:c>
      <x:c r="H13" s="6" t="n">
        <x:f>COUNTIFS('Stories'!B$2:B$72,D13,'Stories'!I$2:I$72,"Fail")</x:f>
        <x:v>0</x:v>
      </x:c>
    </x:row>
    <x:row r="14">
      <x:c r="A14" s="8" t="str">
        <x:v>C:/Users/User/dev/ClaudeProjs/projects/foliobuddy/.codex-qa/current-user-story-run/fresh-smoke-2026-06-24T08-11-45Z/evidence.json</x:v>
      </x:c>
      <x:c r="D14" s="6" t="str">
        <x:v>Trades</x:v>
      </x:c>
      <x:c r="E14" s="6" t="n">
        <x:f>COUNTIF('Stories'!B$2:B$72,D14)</x:f>
        <x:v>9</x:v>
      </x:c>
      <x:c r="F14" s="6" t="n">
        <x:f>COUNTIFS('Stories'!B$2:B$72,D14,'Stories'!I$2:I$72,"Pass")</x:f>
        <x:v>9</x:v>
      </x:c>
      <x:c r="G14" s="6" t="n">
        <x:f>COUNTIFS('Stories'!B$2:B$72,D14,'Stories'!I$2:I$72,"Needs Test")</x:f>
        <x:v>0</x:v>
      </x:c>
      <x:c r="H14" s="6" t="n">
        <x:f>COUNTIFS('Stories'!B$2:B$72,D14,'Stories'!I$2:I$72,"Fail")</x:f>
        <x:v>0</x:v>
      </x:c>
    </x:row>
    <x:row r="15">
      <x:c r="A15" s="8" t="str">
        <x:v>Operating rule</x:v>
      </x:c>
    </x:row>
    <x:row r="16">
      <x:c r="A16" t="str">
        <x:v>Update this workbook as the single source of truth whenever a story is added, a defect is found, a fix lands, or a retest changes status.</x:v>
      </x:c>
    </x:row>
  </x:sheetData>
  <x:mergeCells>
    <x:mergeCell ref="A1:H1"/>
    <x:mergeCell ref="A11:H11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46" hidden="0" customWidth="1"/>
    <x:col min="6" max="6" width="58" hidden="0" customWidth="1"/>
    <x:col min="7" max="7" width="42" hidden="0" customWidth="1"/>
    <x:col min="8" max="8" width="48" hidden="0" customWidth="1"/>
    <x:col min="9" max="9" width="14" hidden="0" customWidth="1"/>
    <x:col min="10" max="10" width="28" hidden="0" customWidth="1"/>
    <x:col min="11" max="11" width="4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36" hidden="0" customWidth="1"/>
  </x:cols>
  <x:sheetData>
    <x:row r="1">
      <x:c r="A1" s="11" t="str">
        <x:v>Story ID</x:v>
      </x:c>
      <x:c r="B1" s="12" t="str">
        <x:v>Feature Area</x:v>
      </x:c>
      <x:c r="C1" s="12" t="str">
        <x:v>Route/Surface</x:v>
      </x:c>
      <x:c r="D1" s="12" t="str">
        <x:v>Role</x:v>
      </x:c>
      <x:c r="E1" s="12" t="str">
        <x:v>User Story</x:v>
      </x:c>
      <x:c r="F1" s="12" t="str">
        <x:v>Expected Behavior</x:v>
      </x:c>
      <x:c r="G1" s="12" t="str">
        <x:v>Edge Cases</x:v>
      </x:c>
      <x:c r="H1" s="12" t="str">
        <x:v>Code Sources</x:v>
      </x:c>
      <x:c r="I1" s="12" t="str">
        <x:v>Test Status</x:v>
      </x:c>
      <x:c r="J1" s="12" t="str">
        <x:v>Test Method</x:v>
      </x:c>
      <x:c r="K1" s="12" t="str">
        <x:v>Evidence</x:v>
      </x:c>
      <x:c r="L1" s="12" t="str">
        <x:v>Defect IDs</x:v>
      </x:c>
      <x:c r="M1" s="12" t="str">
        <x:v>Fix Status</x:v>
      </x:c>
      <x:c r="N1" s="12" t="str">
        <x:v>Retest Status</x:v>
      </x:c>
      <x:c r="O1" s="12" t="str">
        <x:v>Last Verified</x:v>
      </x:c>
      <x:c r="P1" s="13" t="str">
        <x:v>Notes</x:v>
      </x:c>
    </x:row>
    <x:row r="2">
      <x:c r="A2" s="14" t="str">
        <x:v>AUTH-001</x:v>
      </x:c>
      <x:c r="B2" s="10" t="str">
        <x:v>Auth and Runtime</x:v>
      </x:c>
      <x:c r="C2" s="10" t="str">
        <x:v>/</x:v>
      </x:c>
      <x:c r="D2" s="10" t="str">
        <x:v>Signed-out visitor</x:v>
      </x:c>
      <x:c r="E2" s="10" t="str">
        <x:v>As a signed-out visitor, I want to see only the sign-in surface so private portfolio data is protected.</x:v>
      </x:c>
      <x:c r="F2" s="10" t="str">
        <x:v>The root route renders the FolioBuddy sign-in screen with Clerk SignIn, does not render private pages, and does not expose seeded dashboard data before authentication.</x:v>
      </x:c>
      <x:c r="G2" s="10" t="str">
        <x:v>Missing Clerk publishable key, expired session, narrow mobile sign-in layout.</x:v>
      </x:c>
      <x:c r="H2" s="10" t="str">
        <x:v>packages/frontend/src/App.tsx; docs/qa/user-facing-inventory.md</x:v>
      </x:c>
      <x:c r="I2" s="20" t="str">
        <x:v>Pass</x:v>
      </x:c>
      <x:c r="J2" s="10" t="str">
        <x:v>Playwright signed-out route plus static code review</x:v>
      </x:c>
      <x:c r="K2" s="10" t="str">
        <x:v>docs/qa/2026-06-23-real-local-scale-qa.md signed-out auth pass</x:v>
      </x:c>
      <x:c r="L2" s="10" t="str"/>
      <x:c r="M2" s="20" t="str">
        <x:v>N/A</x:v>
      </x:c>
      <x:c r="N2" s="10" t="str">
        <x:v>Pass</x:v>
      </x:c>
      <x:c r="O2" s="10" t="str">
        <x:v>2026-06-24</x:v>
      </x:c>
      <x:c r="P2" s="15" t="str">
        <x:v>Temporary port 4002 run verified signed-out Clerk surface.</x:v>
      </x:c>
    </x:row>
    <x:row r="3">
      <x:c r="A3" s="14" t="str">
        <x:v>AUTH-002</x:v>
      </x:c>
      <x:c r="B3" s="10" t="str">
        <x:v>Auth and Runtime</x:v>
      </x:c>
      <x:c r="C3" s="10" t="str">
        <x:v>All protected routes</x:v>
      </x:c>
      <x:c r="D3" s="10" t="str">
        <x:v>Signed-in user</x:v>
      </x:c>
      <x:c r="E3" s="10" t="str">
        <x:v>As a signed-in user, I want all portfolio, trade, snapshot, investor, and export data scoped to my own account.</x:v>
      </x:c>
      <x:c r="F3" s="10" t="str">
        <x:v>Frontend requests include a Clerk token when available; backend ensureUser creates missing users and mutation routes filter by req.userId or ownership guards.</x:v>
      </x:c>
      <x:c r="G3" s="10" t="str">
        <x:v>Guessed IDs, stale token, optimistic rollback, shared global assets.</x:v>
      </x:c>
      <x:c r="H3" s="10" t="str">
        <x:v>packages/frontend/src/lib/api.ts; packages/backend/src/middleware/auth.ts; packages/backend/src/routes/*; packages/backend/src/lib/authorization.ts</x:v>
      </x:c>
      <x:c r="I3" s="20" t="str">
        <x:v>Pass</x:v>
      </x:c>
      <x:c r="J3" s="10" t="str">
        <x:v>Backend route tests and code review</x:v>
      </x:c>
      <x:c r="K3" s="10" t="str">
        <x:v>packages/backend/src/__tests__/routes/positions.test.ts; routes/trades.test.ts; routes/assets.test.ts</x:v>
      </x:c>
      <x:c r="L3" s="10" t="str"/>
      <x:c r="M3" s="20" t="str">
        <x:v>N/A</x:v>
      </x:c>
      <x:c r="N3" s="10" t="str">
        <x:v>Pass</x:v>
      </x:c>
      <x:c r="O3" s="10" t="str">
        <x:v>2026-06-24</x:v>
      </x:c>
      <x:c r="P3" s="15" t="str">
        <x:v>Browser local bypass covers local user flows; user scoping is primarily route-test evidence.</x:v>
      </x:c>
    </x:row>
    <x:row r="4">
      <x:c r="A4" s="14" t="str">
        <x:v>AUTH-003</x:v>
      </x:c>
      <x:c r="B4" s="10" t="str">
        <x:v>Auth and Runtime</x:v>
      </x:c>
      <x:c r="C4" s="10" t="str">
        <x:v>Local QA bypass</x:v>
      </x:c>
      <x:c r="D4" s="10" t="str">
        <x:v>Local QA user</x:v>
      </x:c>
      <x:c r="E4" s="10" t="str">
        <x:v>As a local QA user, I want to exercise real API routes without Clerk credentials in development only.</x:v>
      </x:c>
      <x:c r="F4" s="10" t="str">
        <x:v>Backend bypass is ignored in production; frontend bypass requires Vite dev mode, skips ClerkProvider, installs a no-token API getter, shows LB avatar, and leaves websocket disconnected.</x:v>
      </x:c>
      <x:c r="G4" s="10" t="str">
        <x:v>Frontend flag without backend flag, CORS missing Vite origin, production env accidentally set.</x:v>
      </x:c>
      <x:c r="H4" s="10" t="str">
        <x:v>packages/frontend/src/lib/localAuthBypass.ts; packages/frontend/src/App.tsx; packages/frontend/src/hooks/useAuthSetup.ts; packages/backend/src/middleware/auth.ts</x:v>
      </x:c>
      <x:c r="I4" s="20" t="str">
        <x:v>Pass</x:v>
      </x:c>
      <x:c r="J4" s="10" t="str">
        <x:v>Local stack QA plus unit tests</x:v>
      </x:c>
      <x:c r="K4" s="10" t="str">
        <x:v>docs/qa/2026-06-23-real-local-scale-qa.md BUG-003 and BUG-007</x:v>
      </x:c>
      <x:c r="L4" s="10" t="str">
        <x:v>BUG-003; BUG-007</x:v>
      </x:c>
      <x:c r="M4" s="24" t="str">
        <x:v>Fixed</x:v>
      </x:c>
      <x:c r="N4" s="10" t="str">
        <x:v>Pass</x:v>
      </x:c>
      <x:c r="O4" s="10" t="str">
        <x:v>2026-06-24</x:v>
      </x:c>
      <x:c r="P4" s="15" t="str">
        <x:v>Used for final clean inventory at http://127.0.0.1:4000 with local backend.</x:v>
      </x:c>
    </x:row>
    <x:row r="5">
      <x:c r="A5" s="14" t="str">
        <x:v>AUTH-004</x:v>
      </x:c>
      <x:c r="B5" s="10" t="str">
        <x:v>Auth and Runtime</x:v>
      </x:c>
      <x:c r="C5" s="10" t="str">
        <x:v>Global asset catalog</x:v>
      </x:c>
      <x:c r="D5" s="10" t="str">
        <x:v>Admin asset maintainer</x:v>
      </x:c>
      <x:c r="E5" s="10" t="str">
        <x:v>As an admin, I want global asset catalog edits restricted so shared assets cannot be changed by normal users.</x:v>
      </x:c>
      <x:c r="F5" s="10" t="str">
        <x:v>PUT/DELETE global asset routes require ADMIN_USER_IDS; per-user refresh and NAV routes require current-user asset ownership.</x:v>
      </x:c>
      <x:c r="G5" s="10" t="str">
        <x:v>Non-admin catalog mutation, unowned asset refresh, shared asset with many holders.</x:v>
      </x:c>
      <x:c r="H5" s="10" t="str">
        <x:v>packages/backend/src/lib/authorization.ts; packages/backend/src/routes/assets.ts; packages/backend/src/__tests__/routes/assets.test.ts</x:v>
      </x:c>
      <x:c r="I5" s="20" t="str">
        <x:v>Pass</x:v>
      </x:c>
      <x:c r="J5" s="10" t="str">
        <x:v>Backend route tests</x:v>
      </x:c>
      <x:c r="K5" s="10" t="str">
        <x:v>docs/qa/2026-06-23-real-local-scale-qa.md admin guard</x:v>
      </x:c>
      <x:c r="L5" s="10" t="str"/>
      <x:c r="M5" s="20" t="str">
        <x:v>N/A</x:v>
      </x:c>
      <x:c r="N5" s="10" t="str">
        <x:v>Pass</x:v>
      </x:c>
      <x:c r="O5" s="10" t="str">
        <x:v>2026-06-24</x:v>
      </x:c>
      <x:c r="P5" s="15" t="str">
        <x:v>Admin write path not executed in browser; covered by API tests.</x:v>
      </x:c>
    </x:row>
    <x:row r="6">
      <x:c r="A6" s="14" t="str">
        <x:v>AUTH-005</x:v>
      </x:c>
      <x:c r="B6" s="10" t="str">
        <x:v>Auth and Runtime</x:v>
      </x:c>
      <x:c r="C6" s="10" t="str">
        <x:v>WebSocket client/server</x:v>
      </x:c>
      <x:c r="D6" s="10" t="str">
        <x:v>Authenticated user</x:v>
      </x:c>
      <x:c r="E6" s="10" t="str">
        <x:v>As an authenticated user, I want live price and portfolio changes to update data without manually refreshing.</x:v>
      </x:c>
      <x:c r="F6" s="10" t="str">
        <x:v>Socket.io connects with Clerk token, price broadcasts invalidate all clients, portfolio updates are scoped to the user's room, and unauthenticated sockets are rejected.</x:v>
      </x:c>
      <x:c r="G6" s="10" t="str">
        <x:v>Disconnect/reconnect, bad origin, local bypass without Clerk, user-room leakage.</x:v>
      </x:c>
      <x:c r="H6" s="10" t="str">
        <x:v>packages/backend/src/services/socketService.ts; packages/frontend/src/hooks/useWebSocket.ts; packages/backend/src/__tests__/socketService.integration.test.ts; packages/frontend/src/hooks/__tests__/useWebSocket.test.ts</x:v>
      </x:c>
      <x:c r="I6" s="20" t="str">
        <x:v>Pass</x:v>
      </x:c>
      <x:c r="J6" s="10" t="str">
        <x:v>Socket.io integration harness and frontend hook tests</x:v>
      </x:c>
      <x:c r="K6" s="10" t="str">
        <x:v>docs/qa/user-facing-inventory.md latest rerun status</x:v>
      </x:c>
      <x:c r="L6" s="10" t="str"/>
      <x:c r="M6" s="20" t="str">
        <x:v>N/A</x:v>
      </x:c>
      <x:c r="N6" s="10" t="str">
        <x:v>Pass</x:v>
      </x:c>
      <x:c r="O6" s="10" t="str">
        <x:v>2026-06-24</x:v>
      </x:c>
      <x:c r="P6" s="15" t="str">
        <x:v>Local bypass intentionally shows disconnected status.</x:v>
      </x:c>
    </x:row>
    <x:row r="7">
      <x:c r="A7" s="14" t="str">
        <x:v>SHELL-001</x:v>
      </x:c>
      <x:c r="B7" s="10" t="str">
        <x:v>App Shell</x:v>
      </x:c>
      <x:c r="C7" s="10" t="str">
        <x:v>Sidebar navigation</x:v>
      </x:c>
      <x:c r="D7" s="10" t="str">
        <x:v>Signed-in user</x:v>
      </x:c>
      <x:c r="E7" s="10" t="str">
        <x:v>As a user, I want sidebar links and keyboard hints so I can move between major pages quickly.</x:v>
      </x:c>
      <x:c r="F7" s="10" t="str">
        <x:v>Dashboard, Portfolio, Trades, History, Investors, and Settings links route within the SPA, active route is highlighted, and shortcuts are listed.</x:v>
      </x:c>
      <x:c r="G7" s="10" t="str">
        <x:v>Collapsed desktop rail, active route after route change, basePath in demo mode.</x:v>
      </x:c>
      <x:c r="H7" s="10" t="str">
        <x:v>packages/frontend/src/components/layout/AppShell.tsx; packages/frontend/src/hooks/useKeyboardShortcuts.ts</x:v>
      </x:c>
      <x:c r="I7" s="20" t="str">
        <x:v>Pass</x:v>
      </x:c>
      <x:c r="J7" s="10" t="str">
        <x:v>Clean local route matrix and safe open-state pass</x:v>
      </x:c>
      <x:c r="K7" s="10" t="str">
        <x:v>C:/Users/User/dev/ClaudeProjs/projects/foliobuddy/.codex-qa/current-user-story-run/fresh-smoke-2026-06-24T08-11-45Z/evidence.json</x:v>
      </x:c>
      <x:c r="L7" s="10" t="str"/>
      <x:c r="M7" s="20" t="str">
        <x:v>N/A</x:v>
      </x:c>
      <x:c r="N7" s="10" t="str">
        <x:v>Pass</x:v>
      </x:c>
      <x:c r="O7" s="10" t="str">
        <x:v>2026-06-24</x:v>
      </x:c>
      <x:c r="P7" s="15" t="str">
        <x:v>Route matrix passed 7/7 including mobile route.</x:v>
      </x:c>
    </x:row>
    <x:row r="8">
      <x:c r="A8" s="14" t="str">
        <x:v>SHELL-002</x:v>
      </x:c>
      <x:c r="B8" s="10" t="str">
        <x:v>App Shell</x:v>
      </x:c>
      <x:c r="C8" s="10" t="str">
        <x:v>Mobile drawer</x:v>
      </x:c>
      <x:c r="D8" s="10" t="str">
        <x:v>Mobile user</x:v>
      </x:c>
      <x:c r="E8" s="10" t="str">
        <x:v>As a mobile user, I want a drawer menu so all routes remain reachable on small screens.</x:v>
      </x:c>
      <x:c r="F8" s="10" t="str">
        <x:v>Hamburger opens the drawer, overlay closes it, drawer links navigate and then close.</x:v>
      </x:c>
      <x:c r="G8" s="10" t="str">
        <x:v>390px viewport, scrollable route content, drawer overlay tap target.</x:v>
      </x:c>
      <x:c r="H8" s="10" t="str">
        <x:v>packages/frontend/src/components/layout/AppShell.tsx</x:v>
      </x:c>
      <x:c r="I8" s="20" t="str">
        <x:v>Pass</x:v>
      </x:c>
      <x:c r="J8" s="10" t="str">
        <x:v>Playwright mobile smoke</x:v>
      </x:c>
      <x:c r="K8" s="10" t="str">
        <x:v>.codex-qa/clean-inventory-2026-06-24T12-46-01/mobile-trades.png</x:v>
      </x:c>
      <x:c r="L8" s="10" t="str"/>
      <x:c r="M8" s="20" t="str">
        <x:v>N/A</x:v>
      </x:c>
      <x:c r="N8" s="10" t="str">
        <x:v>Pass</x:v>
      </x:c>
      <x:c r="O8" s="10" t="str">
        <x:v>2026-06-24</x:v>
      </x:c>
      <x:c r="P8" s="15" t="str">
        <x:v>Mobile drawer navigation Portfolio to Trades passed.</x:v>
      </x:c>
    </x:row>
    <x:row r="9">
      <x:c r="A9" s="14" t="str">
        <x:v>SHELL-003</x:v>
      </x:c>
      <x:c r="B9" s="10" t="str">
        <x:v>App Shell</x:v>
      </x:c>
      <x:c r="C9" s="10" t="str">
        <x:v>Desktop sidebar collapse</x:v>
      </x:c>
      <x:c r="D9" s="10" t="str">
        <x:v>Desktop user</x:v>
      </x:c>
      <x:c r="E9" s="10" t="str">
        <x:v>As a desktop user, I want to collapse the sidebar so dense data pages get more horizontal room.</x:v>
      </x:c>
      <x:c r="F9" s="10" t="str">
        <x:v>Collapse/expand button toggles width, persists in localStorage, and shows tooltips for icon-only nav.</x:v>
      </x:c>
      <x:c r="G9" s="10" t="str">
        <x:v>localStorage unavailable, reload persistence, tooltip on collapsed nav.</x:v>
      </x:c>
      <x:c r="H9" s="10" t="str">
        <x:v>packages/frontend/src/components/layout/AppShell.tsx</x:v>
      </x:c>
      <x:c r="I9" s="20" t="str">
        <x:v>Pass</x:v>
      </x:c>
      <x:c r="J9" s="10" t="str">
        <x:v>Static code review plus prior QA route pass</x:v>
      </x:c>
      <x:c r="K9" s="10" t="str">
        <x:v>docs/qa/2026-06-23-production-scale-demo-qa.md app shell</x:v>
      </x:c>
      <x:c r="L9" s="10" t="str"/>
      <x:c r="M9" s="20" t="str">
        <x:v>N/A</x:v>
      </x:c>
      <x:c r="N9" s="10" t="str">
        <x:v>Pass</x:v>
      </x:c>
      <x:c r="O9" s="10" t="str">
        <x:v>2026-06-24</x:v>
      </x:c>
      <x:c r="P9" s="15" t="str">
        <x:v>No current automated assertion for persistence; tracked as covered by code and manual QA.</x:v>
      </x:c>
    </x:row>
    <x:row r="10">
      <x:c r="A10" s="14" t="str">
        <x:v>SHELL-004</x:v>
      </x:c>
      <x:c r="B10" s="10" t="str">
        <x:v>App Shell</x:v>
      </x:c>
      <x:c r="C10" s="10" t="str">
        <x:v>Keyboard shortcuts</x:v>
      </x:c>
      <x:c r="D10" s="10" t="str">
        <x:v>Power user</x:v>
      </x:c>
      <x:c r="E10" s="10" t="str">
        <x:v>As a power user, I want keyboard shortcuts for navigation, theme, and help.</x:v>
      </x:c>
      <x:c r="F10" s="10" t="str">
        <x:v>D/P/T/H/I/S navigate; slash cycles theme; Cmd/Ctrl+K opens help; shortcuts do not fire while typing in form fields.</x:v>
      </x:c>
      <x:c r="G10" s="10" t="str">
        <x:v>Input focus, textarea focus, browser shortcut conflicts.</x:v>
      </x:c>
      <x:c r="H10" s="10" t="str">
        <x:v>packages/frontend/src/hooks/useKeyboardShortcuts.ts; packages/frontend/src/components/layout/ShortcutsHelpModal.tsx</x:v>
      </x:c>
      <x:c r="I10" s="20" t="str">
        <x:v>Pass</x:v>
      </x:c>
      <x:c r="J10" s="10" t="str">
        <x:v>Safe open-state pass plus code review</x:v>
      </x:c>
      <x:c r="K10" s="10" t="str">
        <x:v>docs/qa/2026-06-23-real-local-scale-qa.md safe open-state pass</x:v>
      </x:c>
      <x:c r="L10" s="10" t="str"/>
      <x:c r="M10" s="20" t="str">
        <x:v>N/A</x:v>
      </x:c>
      <x:c r="N10" s="10" t="str">
        <x:v>Pass</x:v>
      </x:c>
      <x:c r="O10" s="10" t="str">
        <x:v>2026-06-24</x:v>
      </x:c>
      <x:c r="P10" s="15" t="str">
        <x:v>Help modal opened via Ctrl+K during safe pass.</x:v>
      </x:c>
    </x:row>
    <x:row r="11">
      <x:c r="A11" s="14" t="str">
        <x:v>SHELL-005</x:v>
      </x:c>
      <x:c r="B11" s="10" t="str">
        <x:v>App Shell</x:v>
      </x:c>
      <x:c r="C11" s="10" t="str">
        <x:v>Currency toggle</x:v>
      </x:c>
      <x:c r="D11" s="10" t="str">
        <x:v>Signed-in user</x:v>
      </x:c>
      <x:c r="E11" s="10" t="str">
        <x:v>As a user, I want to switch display currency between USD and SGD.</x:v>
      </x:c>
      <x:c r="F11" s="10" t="str">
        <x:v>The shell currency button toggles the Zustand currency store; pages convert displayed values without changing stored USD data.</x:v>
      </x:c>
      <x:c r="G11" s="10" t="str">
        <x:v>Missing FX row, reload persistence, new tab.</x:v>
      </x:c>
      <x:c r="H11" s="10" t="str">
        <x:v>packages/frontend/src/components/layout/AppShell.tsx; packages/frontend/src/stores/currencyStore.ts; packages/frontend/src/lib/utils.ts</x:v>
      </x:c>
      <x:c r="I11" s="20" t="str">
        <x:v>Pass</x:v>
      </x:c>
      <x:c r="J11" s="10" t="str">
        <x:v>Settings/local QA plus store code review</x:v>
      </x:c>
      <x:c r="K11" s="10" t="str">
        <x:v>docs/qa/2026-06-23-real-local-scale-qa.md settings and shell pass</x:v>
      </x:c>
      <x:c r="L11" s="10" t="str"/>
      <x:c r="M11" s="20" t="str">
        <x:v>N/A</x:v>
      </x:c>
      <x:c r="N11" s="10" t="str">
        <x:v>Pass</x:v>
      </x:c>
      <x:c r="O11" s="10" t="str">
        <x:v>2026-06-24</x:v>
      </x:c>
      <x:c r="P11" s="15" t="str">
        <x:v>Settings select also covers the same store.</x:v>
      </x:c>
    </x:row>
    <x:row r="12">
      <x:c r="A12" s="14" t="str">
        <x:v>SHELL-006</x:v>
      </x:c>
      <x:c r="B12" s="10" t="str">
        <x:v>App Shell</x:v>
      </x:c>
      <x:c r="C12" s="10" t="str">
        <x:v>Theme toggle</x:v>
      </x:c>
      <x:c r="D12" s="10" t="str">
        <x:v>Signed-in user</x:v>
      </x:c>
      <x:c r="E12" s="10" t="str">
        <x:v>As a user, I want to cycle light/dark/system appearance.</x:v>
      </x:c>
      <x:c r="F12" s="10" t="str">
        <x:v>Shell icon cycles light and dark; Settings select can set light, dark, or system; theme applies through document class without layout breakage.</x:v>
      </x:c>
      <x:c r="G12" s="10" t="str">
        <x:v>System theme change, invalid stored value, shortcut slash while typing.</x:v>
      </x:c>
      <x:c r="H12" s="10" t="str">
        <x:v>packages/frontend/src/components/layout/AppShell.tsx; packages/frontend/src/stores/themeStore.ts; packages/frontend/src/hooks/useThemeEffect.ts</x:v>
      </x:c>
      <x:c r="I12" s="20" t="str">
        <x:v>Pass</x:v>
      </x:c>
      <x:c r="J12" s="10" t="str">
        <x:v>Safe open-state pass plus store code review</x:v>
      </x:c>
      <x:c r="K12" s="10" t="str">
        <x:v>docs/qa/2026-06-23-real-local-scale-qa.md settings route</x:v>
      </x:c>
      <x:c r="L12" s="10" t="str"/>
      <x:c r="M12" s="20" t="str">
        <x:v>N/A</x:v>
      </x:c>
      <x:c r="N12" s="10" t="str">
        <x:v>Pass</x:v>
      </x:c>
      <x:c r="O12" s="10" t="str">
        <x:v>2026-06-24</x:v>
      </x:c>
      <x:c r="P12" s="15" t="str">
        <x:v>Theme behavior was not mutation-bearing.</x:v>
      </x:c>
    </x:row>
    <x:row r="13">
      <x:c r="A13" s="14" t="str">
        <x:v>SHELL-007</x:v>
      </x:c>
      <x:c r="B13" s="10" t="str">
        <x:v>App Shell</x:v>
      </x:c>
      <x:c r="C13" s="10" t="str">
        <x:v>Refresh prices action</x:v>
      </x:c>
      <x:c r="D13" s="10" t="str">
        <x:v>Signed-in user</x:v>
      </x:c>
      <x:c r="E13" s="10" t="str">
        <x:v>As a user, I want to refresh prices from the shell.</x:v>
      </x:c>
      <x:c r="F13" s="10" t="str">
        <x:v>Clicking refresh calls api.refreshPrices, shows a spinner/status text, and invalidates cached queries on success.</x:v>
      </x:c>
      <x:c r="G13" s="10" t="str">
        <x:v>Provider failure, rate limit, repeated clicks, mobile overflow menu.</x:v>
      </x:c>
      <x:c r="H13" s="10" t="str">
        <x:v>packages/frontend/src/components/layout/AppShell.tsx; packages/backend/src/routes/prices.ts; packages/backend/src/services/priceService.ts</x:v>
      </x:c>
      <x:c r="I13" s="20" t="str">
        <x:v>Pass</x:v>
      </x:c>
      <x:c r="J13" s="10" t="str">
        <x:v>Safe open-state and backend tests</x:v>
      </x:c>
      <x:c r="K13" s="10" t="str">
        <x:v>docs/qa/2026-06-23-real-local-scale-qa.md settings and shell</x:v>
      </x:c>
      <x:c r="L13" s="10" t="str"/>
      <x:c r="M13" s="20" t="str">
        <x:v>N/A</x:v>
      </x:c>
      <x:c r="N13" s="10" t="str">
        <x:v>Pass</x:v>
      </x:c>
      <x:c r="O13" s="10" t="str">
        <x:v>2026-06-24</x:v>
      </x:c>
      <x:c r="P13" s="15" t="str">
        <x:v>Final safe pass did not perform write methods; API behavior covered by route/service tests.</x:v>
      </x:c>
    </x:row>
    <x:row r="14">
      <x:c r="A14" s="14" t="str">
        <x:v>SHELL-008</x:v>
      </x:c>
      <x:c r="B14" s="10" t="str">
        <x:v>App Shell</x:v>
      </x:c>
      <x:c r="C14" s="10" t="str">
        <x:v>Export data action</x:v>
      </x:c>
      <x:c r="D14" s="10" t="str">
        <x:v>Signed-in user</x:v>
      </x:c>
      <x:c r="E14" s="10" t="str">
        <x:v>As a user, I want a one-click Excel export from the shell.</x:v>
      </x:c>
      <x:c r="F14" s="10" t="str">
        <x:v>Clicking export opens the Excel export URL in a new tab; backend returns XLSX attachment with supported sheet names.</x:v>
      </x:c>
      <x:c r="G14" s="10" t="str">
        <x:v>Popup blocked, ExcelJS protected sheet names, large datasets.</x:v>
      </x:c>
      <x:c r="H14" s="10" t="str">
        <x:v>packages/frontend/src/components/layout/AppShell.tsx; packages/backend/src/routes/export.ts; packages/backend/src/__tests__/routes/export.test.ts</x:v>
      </x:c>
      <x:c r="I14" s="20" t="str">
        <x:v>Pass</x:v>
      </x:c>
      <x:c r="J14" s="10" t="str">
        <x:v>HEAD export check and regression test</x:v>
      </x:c>
      <x:c r="K14" s="10" t="str">
        <x:v>.codex-qa/clean-inventory-2026-06-24T12-46-01/evidence.json exports</x:v>
      </x:c>
      <x:c r="L14" s="10" t="str">
        <x:v>BUG-005</x:v>
      </x:c>
      <x:c r="M14" s="24" t="str">
        <x:v>Fixed</x:v>
      </x:c>
      <x:c r="N14" s="10" t="str">
        <x:v>Pass</x:v>
      </x:c>
      <x:c r="O14" s="10" t="str">
        <x:v>2026-06-24</x:v>
      </x:c>
      <x:c r="P14" s="15" t="str">
        <x:v>Bodies were not downloaded during safe pass.</x:v>
      </x:c>
    </x:row>
    <x:row r="15">
      <x:c r="A15" s="14" t="str">
        <x:v>DASH-001</x:v>
      </x:c>
      <x:c r="B15" s="10" t="str">
        <x:v>Dashboard</x:v>
      </x:c>
      <x:c r="C15" s="10" t="str">
        <x:v>/</x:v>
      </x:c>
      <x:c r="D15" s="10" t="str">
        <x:v>Investor owner</x:v>
      </x:c>
      <x:c r="E15" s="10" t="str">
        <x:v>As the primary owner, I want the dashboard to default to my stake so the headline net worth matches my view.</x:v>
      </x:c>
      <x:c r="F15" s="10" t="str">
        <x:v>Investor filter defaults to the owner row when present; All/Clear can select or clear investor checkboxes; label reflects selected investors.</x:v>
      </x:c>
      <x:c r="G15" s="10" t="str">
        <x:v>No owner, multiple owners, zero-stake observer, all investors cleared.</x:v>
      </x:c>
      <x:c r="H15" s="10" t="str">
        <x:v>packages/frontend/src/pages/Dashboard.tsx; packages/frontend/src/components/dashboard/NetWorthCard.tsx</x:v>
      </x:c>
      <x:c r="I15" s="20" t="str">
        <x:v>Pass</x:v>
      </x:c>
      <x:c r="J15" s="10" t="str">
        <x:v>Clean route matrix and investor popover pass</x:v>
      </x:c>
      <x:c r="K15" s="10" t="str">
        <x:v>.codex-qa/clean-inventory-2026-06-24T12-46-01/dashboard.png</x:v>
      </x:c>
      <x:c r="L15" s="10" t="str"/>
      <x:c r="M15" s="20" t="str">
        <x:v>N/A</x:v>
      </x:c>
      <x:c r="N15" s="10" t="str">
        <x:v>Pass</x:v>
      </x:c>
      <x:c r="O15" s="10" t="str">
        <x:v>2026-06-24</x:v>
      </x:c>
      <x:c r="P15" s="15" t="str">
        <x:v>Final evidence expected Net Worth (Scale Owner).</x:v>
      </x:c>
    </x:row>
    <x:row r="16">
      <x:c r="A16" s="14" t="str">
        <x:v>DASH-002</x:v>
      </x:c>
      <x:c r="B16" s="10" t="str">
        <x:v>Dashboard</x:v>
      </x:c>
      <x:c r="C16" s="10" t="str">
        <x:v>DB health banner</x:v>
      </x:c>
      <x:c r="D16" s="10" t="str">
        <x:v>Signed-in user</x:v>
      </x:c>
      <x:c r="E16" s="10" t="str">
        <x:v>As a user, I want database health surfaced when the dashboard loads.</x:v>
      </x:c>
      <x:c r="F16" s="10" t="str">
        <x:v>Dashboard shows the DB status banner from /health/db without blocking other dashboard content.</x:v>
      </x:c>
      <x:c r="G16" s="10" t="str">
        <x:v>Backend down, slow DB latency, health route error.</x:v>
      </x:c>
      <x:c r="H16" s="10" t="str">
        <x:v>packages/frontend/src/components/dashboard/DbStatusBanner.tsx; packages/backend/src/routes/health.ts</x:v>
      </x:c>
      <x:c r="I16" s="20" t="str">
        <x:v>Pass</x:v>
      </x:c>
      <x:c r="J16" s="10" t="str">
        <x:v>Clean route matrix and API health check</x:v>
      </x:c>
      <x:c r="K16" s="10" t="str">
        <x:v>.codex-qa/clean-inventory-2026-06-24T12-46-01/evidence.json api.health</x:v>
      </x:c>
      <x:c r="L16" s="10" t="str"/>
      <x:c r="M16" s="20" t="str">
        <x:v>N/A</x:v>
      </x:c>
      <x:c r="N16" s="10" t="str">
        <x:v>Pass</x:v>
      </x:c>
      <x:c r="O16" s="10" t="str">
        <x:v>2026-06-24</x:v>
      </x:c>
      <x:c r="P16" s="15" t="str">
        <x:v>API health latency was 2 ms in final evidence.</x:v>
      </x:c>
    </x:row>
    <x:row r="17">
      <x:c r="A17" s="14" t="str">
        <x:v>DASH-003</x:v>
      </x:c>
      <x:c r="B17" s="10" t="str">
        <x:v>Dashboard</x:v>
      </x:c>
      <x:c r="C17" s="10" t="str">
        <x:v>Net worth hero</x:v>
      </x:c>
      <x:c r="D17" s="10" t="str">
        <x:v>Signed-in user</x:v>
      </x:c>
      <x:c r="E17" s="10" t="str">
        <x:v>As a user, I want a concise net worth hero with YTD, 30D, exposure, positions, and trades.</x:v>
      </x:c>
      <x:c r="F17" s="10" t="str">
        <x:v>The hero uses portfolio summary, selected investor stake multiplier, 30D performance start, owned market exposure plus perp exposure, and closed trade analytics.</x:v>
      </x:c>
      <x:c r="G17" s="10" t="str">
        <x:v>Empty portfolio, no performance history, negative PnL, custody rows.</x:v>
      </x:c>
      <x:c r="H17" s="10" t="str">
        <x:v>packages/frontend/src/pages/Dashboard.tsx; packages/frontend/src/components/dashboard/NetWorthCard.tsx; packages/backend/src/services/portfolioService.ts</x:v>
      </x:c>
      <x:c r="I17" s="20" t="str">
        <x:v>Pass</x:v>
      </x:c>
      <x:c r="J17" s="10" t="str">
        <x:v>Clean route matrix</x:v>
      </x:c>
      <x:c r="K17" s="10" t="str">
        <x:v>.codex-qa/clean-inventory-2026-06-24T12-46-01/dashboard.png</x:v>
      </x:c>
      <x:c r="L17" s="10" t="str"/>
      <x:c r="M17" s="20" t="str">
        <x:v>N/A</x:v>
      </x:c>
      <x:c r="N17" s="10" t="str">
        <x:v>Pass</x:v>
      </x:c>
      <x:c r="O17" s="10" t="str">
        <x:v>2026-06-24</x:v>
      </x:c>
      <x:c r="P17" s="15" t="str">
        <x:v>Custody exclusion covered in portfolio summary tests and QA inventory.</x:v>
      </x:c>
    </x:row>
    <x:row r="18">
      <x:c r="A18" s="14" t="str">
        <x:v>DASH-004</x:v>
      </x:c>
      <x:c r="B18" s="10" t="str">
        <x:v>Dashboard</x:v>
      </x:c>
      <x:c r="C18" s="10" t="str">
        <x:v>Portfolio value chart</x:v>
      </x:c>
      <x:c r="D18" s="10" t="str">
        <x:v>Signed-in user</x:v>
      </x:c>
      <x:c r="E18" s="10" t="str">
        <x:v>As a user, I want portfolio value over selectable periods including Max.</x:v>
      </x:c>
      <x:c r="F18" s="10" t="str">
        <x:v>Period buttons request the right date window; Max sends all=true; chart shows value history, reference line, end label, and loading state on period changes.</x:v>
      </x:c>
      <x:c r="G18" s="10" t="str">
        <x:v>No snapshots, 390 points, YTD boundary, Max older than 1Y.</x:v>
      </x:c>
      <x:c r="H18" s="10" t="str">
        <x:v>packages/frontend/src/components/dashboard/PortfolioChart.tsx; packages/frontend/src/lib/chartUtils.ts; packages/backend/src/routes/snapshots.ts</x:v>
      </x:c>
      <x:c r="I18" s="20" t="str">
        <x:v>Pass</x:v>
      </x:c>
      <x:c r="J18" s="10" t="str">
        <x:v>Clean route matrix plus unit tests</x:v>
      </x:c>
      <x:c r="K18" s="10" t="str">
        <x:v>packages/frontend/src/lib/__tests__/chartUtils.test.ts; .codex-qa evidence dashboard route</x:v>
      </x:c>
      <x:c r="L18" s="10" t="str"/>
      <x:c r="M18" s="20" t="str">
        <x:v>N/A</x:v>
      </x:c>
      <x:c r="N18" s="10" t="str">
        <x:v>Pass</x:v>
      </x:c>
      <x:c r="O18" s="10" t="str">
        <x:v>2026-06-24</x:v>
      </x:c>
      <x:c r="P18" s="15" t="str">
        <x:v>Final route matrix expected Portfolio $ Value.</x:v>
      </x:c>
    </x:row>
    <x:row r="19">
      <x:c r="A19" s="14" t="str">
        <x:v>DASH-005</x:v>
      </x:c>
      <x:c r="B19" s="10" t="str">
        <x:v>Dashboard</x:v>
      </x:c>
      <x:c r="C19" s="10" t="str">
        <x:v>Benchmark comparison chart</x:v>
      </x:c>
      <x:c r="D19" s="10" t="str">
        <x:v>Signed-in user</x:v>
      </x:c>
      <x:c r="E19" s="10" t="str">
        <x:v>As a user, I want portfolio percent performance compared to BTC, ETH, SPX, and custom benchmarks.</x:v>
      </x:c>
      <x:c r="F19" s="10" t="str">
        <x:v>Default benchmarks render; custom benchmarks can be searched, added up to the limit, toggled, removed; provider history fallback uses stored PriceHistory when live provider history fails.</x:v>
      </x:c>
      <x:c r="G19" s="10" t="str">
        <x:v>Provider outage, duplicate benchmark, no search results, SPX Yahoo fallback.</x:v>
      </x:c>
      <x:c r="H19" s="10" t="str">
        <x:v>packages/frontend/src/components/dashboard/BenchmarkComparisonChart.tsx; packages/frontend/src/lib/benchmarkUtils.ts; packages/backend/src/services/priceService.ts</x:v>
      </x:c>
      <x:c r="I19" s="20" t="str">
        <x:v>Pass</x:v>
      </x:c>
      <x:c r="J19" s="10" t="str">
        <x:v>Clean route matrix, benchmark control pass, backend service tests</x:v>
      </x:c>
      <x:c r="K19" s="10" t="str">
        <x:v>docs/qa/2026-06-23-real-local-scale-qa.md BUG-009 and benchmark controls</x:v>
      </x:c>
      <x:c r="L19" s="10" t="str">
        <x:v>BUG-009</x:v>
      </x:c>
      <x:c r="M19" s="24" t="str">
        <x:v>Fixed</x:v>
      </x:c>
      <x:c r="N19" s="10" t="str">
        <x:v>Pass</x:v>
      </x:c>
      <x:c r="O19" s="10" t="str">
        <x:v>2026-06-24</x:v>
      </x:c>
      <x:c r="P19" s="15" t="str">
        <x:v>Final evidence recorded zero bad provider-history API responses.</x:v>
      </x:c>
    </x:row>
    <x:row r="20">
      <x:c r="A20" s="14" t="str">
        <x:v>DASH-006</x:v>
      </x:c>
      <x:c r="B20" s="10" t="str">
        <x:v>Dashboard</x:v>
      </x:c>
      <x:c r="C20" s="10" t="str">
        <x:v>Allocation donuts</x:v>
      </x:c>
      <x:c r="D20" s="10" t="str">
        <x:v>Signed-in user</x:v>
      </x:c>
      <x:c r="E20" s="10" t="str">
        <x:v>As a user, I want allocation charts by asset, detailed asset, storage, and cash breakdown.</x:v>
      </x:c>
      <x:c r="F20" s="10" t="str">
        <x:v>Four donuts render from owned positions only, group crypto sub-2 percent slices into Other when needed, use chart colors, and provide category detail selection.</x:v>
      </x:c>
      <x:c r="G20" s="10" t="str">
        <x:v>Custody rows, empty cash, duplicate assets, many storage locations, legend overflow.</x:v>
      </x:c>
      <x:c r="H20" s="10" t="str">
        <x:v>packages/frontend/src/components/dashboard/AllocationCharts.tsx; packages/frontend/src/lib/chartColors.ts</x:v>
      </x:c>
      <x:c r="I20" s="20" t="str">
        <x:v>Pass</x:v>
      </x:c>
      <x:c r="J20" s="10" t="str">
        <x:v>Clean route matrix screenshot</x:v>
      </x:c>
      <x:c r="K20" s="10" t="str">
        <x:v>.codex-qa/clean-inventory-2026-06-24T12-46-01/dashboard.png</x:v>
      </x:c>
      <x:c r="L20" s="10" t="str"/>
      <x:c r="M20" s="20" t="str">
        <x:v>N/A</x:v>
      </x:c>
      <x:c r="N20" s="10" t="str">
        <x:v>Pass</x:v>
      </x:c>
      <x:c r="O20" s="10" t="str">
        <x:v>2026-06-24</x:v>
      </x:c>
      <x:c r="P20" s="15" t="str">
        <x:v>Final seeded dataset included crypto, equities, cash, storage, and custody.</x:v>
      </x:c>
    </x:row>
    <x:row r="21">
      <x:c r="A21" s="14" t="str">
        <x:v>DASH-007</x:v>
      </x:c>
      <x:c r="B21" s="10" t="str">
        <x:v>Dashboard</x:v>
      </x:c>
      <x:c r="C21" s="10" t="str">
        <x:v>Performers lists</x:v>
      </x:c>
      <x:c r="D21" s="10" t="str">
        <x:v>Signed-in user</x:v>
      </x:c>
      <x:c r="E21" s="10" t="str">
        <x:v>As a user, I want top and worst performers ranked by absolute unrealized PnL.</x:v>
      </x:c>
      <x:c r="F21" s="10" t="str">
        <x:v>Top and worst lists render duplicate asset IDs safely and rank by USD PnL impact rather than percentage.</x:v>
      </x:c>
      <x:c r="G21" s="10" t="str">
        <x:v>Repeated cash asset IDs, negative PnL, empty performer list.</x:v>
      </x:c>
      <x:c r="H21" s="10" t="str">
        <x:v>packages/frontend/src/components/dashboard/PerformersCard.tsx; packages/backend/src/services/portfolioService.ts</x:v>
      </x:c>
      <x:c r="I21" s="20" t="str">
        <x:v>Pass</x:v>
      </x:c>
      <x:c r="J21" s="10" t="str">
        <x:v>Unit test and clean route matrix</x:v>
      </x:c>
      <x:c r="K21" s="10" t="str">
        <x:v>packages/frontend/src/components/dashboard/__tests__/PerformersCard.test.tsx; docs/qa/2026-06-23-production-scale-demo-qa.md BUG-002</x:v>
      </x:c>
      <x:c r="L21" s="10" t="str">
        <x:v>BUG-002</x:v>
      </x:c>
      <x:c r="M21" s="24" t="str">
        <x:v>Fixed</x:v>
      </x:c>
      <x:c r="N21" s="10" t="str">
        <x:v>Pass</x:v>
      </x:c>
      <x:c r="O21" s="10" t="str">
        <x:v>2026-06-24</x:v>
      </x:c>
      <x:c r="P21" s="15" t="str">
        <x:v>Duplicate key regression covered.</x:v>
      </x:c>
    </x:row>
    <x:row r="22">
      <x:c r="A22" s="14" t="str">
        <x:v>PORT-001</x:v>
      </x:c>
      <x:c r="B22" s="10" t="str">
        <x:v>Portfolio</x:v>
      </x:c>
      <x:c r="C22" s="10" t="str">
        <x:v>/portfolio</x:v>
      </x:c>
      <x:c r="D22" s="10" t="str">
        <x:v>Signed-in user</x:v>
      </x:c>
      <x:c r="E22" s="10" t="str">
        <x:v>As a user, I want a portfolio hero that summarizes total value, YTD start, exposure, positions, and YTD PnL.</x:v>
      </x:c>
      <x:c r="F22" s="10" t="str">
        <x:v>Portfolio header uses summary data, currency conversion, owned market exposure plus local perp exposure, and responsive stat layout.</x:v>
      </x:c>
      <x:c r="G22" s="10" t="str">
        <x:v>No positions, negative PnL, mobile 2-column summary, missing FX.</x:v>
      </x:c>
      <x:c r="H22" s="10" t="str">
        <x:v>packages/frontend/src/pages/Portfolio.tsx; packages/backend/src/services/portfolioService.ts</x:v>
      </x:c>
      <x:c r="I22" s="20" t="str">
        <x:v>Pass</x:v>
      </x:c>
      <x:c r="J22" s="10" t="str">
        <x:v>Clean route matrix</x:v>
      </x:c>
      <x:c r="K22" s="10" t="str">
        <x:v>.codex-qa/clean-inventory-2026-06-24T12-46-01/portfolio.png</x:v>
      </x:c>
      <x:c r="L22" s="10" t="str"/>
      <x:c r="M22" s="20" t="str">
        <x:v>N/A</x:v>
      </x:c>
      <x:c r="N22" s="10" t="str">
        <x:v>Pass</x:v>
      </x:c>
      <x:c r="O22" s="10" t="str">
        <x:v>2026-06-24</x:v>
      </x:c>
      <x:c r="P22" s="15" t="str">
        <x:v>Final evidence showed 63 positions.</x:v>
      </x:c>
    </x:row>
    <x:row r="23">
      <x:c r="A23" s="14" t="str">
        <x:v>PORT-002</x:v>
      </x:c>
      <x:c r="B23" s="10" t="str">
        <x:v>Portfolio</x:v>
      </x:c>
      <x:c r="C23" s="10" t="str">
        <x:v>Category sections</x:v>
      </x:c>
      <x:c r="D23" s="10" t="str">
        <x:v>Signed-in user</x:v>
      </x:c>
      <x:c r="E23" s="10" t="str">
        <x:v>As a user, I want positions grouped into Crypto, Equities, Cash, and Held for Others.</x:v>
      </x:c>
      <x:c r="F23" s="10" t="str">
        <x:v>Owned positions are grouped by category; custody positions are separated, purple, collapsed by default, and excluded from totals/allocations/exposure.</x:v>
      </x:c>
      <x:c r="G23" s="10" t="str">
        <x:v>Same asset owned and custody, empty categories, custom custody names.</x:v>
      </x:c>
      <x:c r="H23" s="10" t="str">
        <x:v>packages/frontend/src/pages/Portfolio.tsx; packages/frontend/src/components/portfolio/CollapsibleCard.tsx; packages/shared/src/types.ts</x:v>
      </x:c>
      <x:c r="I23" s="20" t="str">
        <x:v>Pass</x:v>
      </x:c>
      <x:c r="J23" s="10" t="str">
        <x:v>Clean route matrix</x:v>
      </x:c>
      <x:c r="K23" s="10" t="str">
        <x:v>.codex-qa/clean-inventory-2026-06-24T12-46-01/evidence.json routes /portfolio</x:v>
      </x:c>
      <x:c r="L23" s="10" t="str"/>
      <x:c r="M23" s="20" t="str">
        <x:v>N/A</x:v>
      </x:c>
      <x:c r="N23" s="10" t="str">
        <x:v>Pass</x:v>
      </x:c>
      <x:c r="O23" s="10" t="str">
        <x:v>2026-06-24</x:v>
      </x:c>
      <x:c r="P23" s="15" t="str">
        <x:v>Expected counts: Crypto 24, Equities 26, Cash 10, Held for Others 3.</x:v>
      </x:c>
    </x:row>
    <x:row r="24">
      <x:c r="A24" s="14" t="str">
        <x:v>PORT-003</x:v>
      </x:c>
      <x:c r="B24" s="10" t="str">
        <x:v>Portfolio</x:v>
      </x:c>
      <x:c r="C24" s="10" t="str">
        <x:v>Position table</x:v>
      </x:c>
      <x:c r="D24" s="10" t="str">
        <x:v>Signed-in user</x:v>
      </x:c>
      <x:c r="E24" s="10" t="str">
        <x:v>As a user, I want each section table to show values, price, average cost, PnL, storage, and row actions.</x:v>
      </x:c>
      <x:c r="F24" s="10" t="str">
        <x:v>Rows format per-unit prices with smart decimals, quantities by asset type, local native price second lines where applicable, and row actions for view/copy/NAV/edit/delete.</x:v>
      </x:c>
      <x:c r="G24" s="10" t="str">
        <x:v>Local-currency equity, unit trust manual NAV age, mobile compact columns, duplicate assets.</x:v>
      </x:c>
      <x:c r="H24" s="10" t="str">
        <x:v>packages/frontend/src/components/portfolio/PositionTable.tsx; PositionRow.tsx; positionPriceDisplay.ts; packages/frontend/src/lib/utils.ts</x:v>
      </x:c>
      <x:c r="I24" s="20" t="str">
        <x:v>Pass</x:v>
      </x:c>
      <x:c r="J24" s="10" t="str">
        <x:v>Clean route matrix and mobile smoke</x:v>
      </x:c>
      <x:c r="K24" s="10" t="str">
        <x:v>.codex-qa/clean-inventory-2026-06-24T12-46-01/portfolio.png</x:v>
      </x:c>
      <x:c r="L24" s="10" t="str"/>
      <x:c r="M24" s="20" t="str">
        <x:v>N/A</x:v>
      </x:c>
      <x:c r="N24" s="10" t="str">
        <x:v>Pass</x:v>
      </x:c>
      <x:c r="O24" s="10" t="str">
        <x:v>2026-06-24</x:v>
      </x:c>
      <x:c r="P24" s="15" t="str">
        <x:v>Mobile compact/all columns toggles were usable.</x:v>
      </x:c>
    </x:row>
    <x:row r="25">
      <x:c r="A25" s="14" t="str">
        <x:v>PORT-004</x:v>
      </x:c>
      <x:c r="B25" s="10" t="str">
        <x:v>Portfolio</x:v>
      </x:c>
      <x:c r="C25" s="10" t="str">
        <x:v>Equity grouping toggle</x:v>
      </x:c>
      <x:c r="D25" s="10" t="str">
        <x:v>Signed-in user</x:v>
      </x:c>
      <x:c r="E25" s="10" t="str">
        <x:v>As a user, I want equities grouped by broker or by type.</x:v>
      </x:c>
      <x:c r="F25" s="10" t="str">
        <x:v>The By Broker/By Type segmented control changes PositionTable grouping and persists to localStorage.</x:v>
      </x:c>
      <x:c r="G25" s="10" t="str">
        <x:v>Invalid stored value, no equities, only unit trusts.</x:v>
      </x:c>
      <x:c r="H25" s="10" t="str">
        <x:v>packages/frontend/src/pages/Portfolio.tsx; packages/frontend/src/components/portfolio/PositionTable.tsx</x:v>
      </x:c>
      <x:c r="I25" s="20" t="str">
        <x:v>Pass</x:v>
      </x:c>
      <x:c r="J25" s="10" t="str">
        <x:v>Static code review and route QA</x:v>
      </x:c>
      <x:c r="K25" s="10" t="str">
        <x:v>docs/qa/user-facing-inventory.md Portfolio</x:v>
      </x:c>
      <x:c r="L25" s="10" t="str"/>
      <x:c r="M25" s="20" t="str">
        <x:v>N/A</x:v>
      </x:c>
      <x:c r="N25" s="10" t="str">
        <x:v>Pass</x:v>
      </x:c>
      <x:c r="O25" s="10" t="str">
        <x:v>2026-06-24</x:v>
      </x:c>
      <x:c r="P25" s="15" t="str">
        <x:v>Grouping state key: foliobuddy-equity-group-by.</x:v>
      </x:c>
    </x:row>
    <x:row r="26">
      <x:c r="A26" s="14" t="str">
        <x:v>PORT-005</x:v>
      </x:c>
      <x:c r="B26" s="10" t="str">
        <x:v>Portfolio</x:v>
      </x:c>
      <x:c r="C26" s="10" t="str">
        <x:v>Perp exposure dialog</x:v>
      </x:c>
      <x:c r="D26" s="10" t="str">
        <x:v>Signed-in user</x:v>
      </x:c>
      <x:c r="E26" s="10" t="str">
        <x:v>As a user, I want to record local perpetual futures exposure so exposure metrics are accurate without affecting net worth.</x:v>
      </x:c>
      <x:c r="F26" s="10" t="str">
        <x:v>Cash section exposes Add/Edit Perp, stores value in localStorage with legacy migration, and includes it in exposure calculations only.</x:v>
      </x:c>
      <x:c r="G26" s="10" t="str">
        <x:v>Legacy key, invalid number, mobile dialog, zero exposure.</x:v>
      </x:c>
      <x:c r="H26" s="10" t="str">
        <x:v>packages/frontend/src/pages/Portfolio.tsx</x:v>
      </x:c>
      <x:c r="I26" s="20" t="str">
        <x:v>Pass</x:v>
      </x:c>
      <x:c r="J26" s="10" t="str">
        <x:v>Static code review and prior QA</x:v>
      </x:c>
      <x:c r="K26" s="10" t="str">
        <x:v>docs/qa/user-facing-inventory.md Client State Inventory</x:v>
      </x:c>
      <x:c r="L26" s="10" t="str"/>
      <x:c r="M26" s="20" t="str">
        <x:v>N/A</x:v>
      </x:c>
      <x:c r="N26" s="10" t="str">
        <x:v>Pass</x:v>
      </x:c>
      <x:c r="O26" s="10" t="str">
        <x:v>2026-06-24</x:v>
      </x:c>
      <x:c r="P26" s="15" t="str">
        <x:v>No write API involved.</x:v>
      </x:c>
    </x:row>
    <x:row r="27">
      <x:c r="A27" s="14" t="str">
        <x:v>PORT-006</x:v>
      </x:c>
      <x:c r="B27" s="10" t="str">
        <x:v>Portfolio</x:v>
      </x:c>
      <x:c r="C27" s="10" t="str">
        <x:v>Add position form</x:v>
      </x:c>
      <x:c r="D27" s="10" t="str">
        <x:v>Signed-in user</x:v>
      </x:c>
      <x:c r="E27" s="10" t="str">
        <x:v>As a user, I want to add crypto, cash, equity, unit-trust, NFT, and angel positions manually.</x:v>
      </x:c>
      <x:c r="F27" s="10" t="str">
        <x:v>Add Position opens a form with category-specific fields, asset search/create flows, quantity/cost inputs, storage, notes, custody, and submit gating that matches backend validation.</x:v>
      </x:c>
      <x:c r="G27" s="10" t="str">
        <x:v>Crypto, stablecoin, fiat cash, stock/ETF, unit trust, NFT, angel, custom storage, custody.</x:v>
      </x:c>
      <x:c r="H27" s="10" t="str">
        <x:v>packages/frontend/src/components/portfolio/PositionForm.tsx; AssetSearchDropdown.tsx; PositionCostFields.tsx; PositionStorageFields.tsx; packages/backend/src/routes/positions.ts</x:v>
      </x:c>
      <x:c r="I27" s="20" t="str">
        <x:v>Pass</x:v>
      </x:c>
      <x:c r="J27" s="10" t="str">
        <x:v>Safe open-state pass, invalid guard pass, backend route tests</x:v>
      </x:c>
      <x:c r="K27" s="10" t="str">
        <x:v>.codex-qa/clean-inventory-2026-06-24T12-46-01/evidence.json interactions Add Position invalid guard</x:v>
      </x:c>
      <x:c r="L27" s="10" t="str">
        <x:v>BUG-008</x:v>
      </x:c>
      <x:c r="M27" s="24" t="str">
        <x:v>Fixed</x:v>
      </x:c>
      <x:c r="N27" s="10" t="str">
        <x:v>Pass</x:v>
      </x:c>
      <x:c r="O27" s="10" t="str">
        <x:v>2026-06-24</x:v>
      </x:c>
      <x:c r="P27" s="15" t="str">
        <x:v>Negative quantity clears and submit remains disabled.</x:v>
      </x:c>
    </x:row>
    <x:row r="28">
      <x:c r="A28" s="14" t="str">
        <x:v>PORT-007</x:v>
      </x:c>
      <x:c r="B28" s="10" t="str">
        <x:v>Portfolio</x:v>
      </x:c>
      <x:c r="C28" s="10" t="str">
        <x:v>Asset search/create</x:v>
      </x:c>
      <x:c r="D28" s="10" t="str">
        <x:v>Signed-in user</x:v>
      </x:c>
      <x:c r="E28" s="10" t="str">
        <x:v>As a user, I want searchable provider assets and manual assets so new positions can be attached to correct instruments.</x:v>
      </x:c>
      <x:c r="F28" s="10" t="str">
        <x:v>Crypto uses CoinGecko; equities and benchmarks use Yahoo; unit trusts can be manual/yahoo with native currency, ISIN, factsheet, and NAV fields.</x:v>
      </x:c>
      <x:c r="G28" s="10" t="str">
        <x:v>Yahoo regional search fallback, local exchange suffixes, duplicate symbols, no results.</x:v>
      </x:c>
      <x:c r="H28" s="10" t="str">
        <x:v>packages/frontend/src/components/portfolio/AssetSearchDropdown.tsx; packages/backend/src/routes/assets.ts; packages/backend/src/services/providers/YahooFinanceProvider.ts</x:v>
      </x:c>
      <x:c r="I28" s="20" t="str">
        <x:v>Pass</x:v>
      </x:c>
      <x:c r="J28" s="10" t="str">
        <x:v>Backend provider tests and form code review</x:v>
      </x:c>
      <x:c r="K28" s="10" t="str">
        <x:v>packages/backend/src/__tests__/YahooFinanceProvider.test.ts</x:v>
      </x:c>
      <x:c r="L28" s="10" t="str"/>
      <x:c r="M28" s="20" t="str">
        <x:v>N/A</x:v>
      </x:c>
      <x:c r="N28" s="10" t="str">
        <x:v>Pass</x:v>
      </x:c>
      <x:c r="O28" s="10" t="str">
        <x:v>2026-06-24</x:v>
      </x:c>
      <x:c r="P28" s="15" t="str">
        <x:v>Kioxia, Taiwan, Korea, Oslo coverage lives in provider tests.</x:v>
      </x:c>
    </x:row>
    <x:row r="29">
      <x:c r="A29" s="14" t="str">
        <x:v>PORT-008</x:v>
      </x:c>
      <x:c r="B29" s="10" t="str">
        <x:v>Portfolio</x:v>
      </x:c>
      <x:c r="C29" s="10" t="str">
        <x:v>Fiat cash and stablecoins</x:v>
      </x:c>
      <x:c r="D29" s="10" t="str">
        <x:v>Signed-in user</x:v>
      </x:c>
      <x:c r="E29" s="10" t="str">
        <x:v>As a user, I want cash to support both stablecoins and fiat balances.</x:v>
      </x:c>
      <x:c r="F29" s="10" t="str">
        <x:v>Cash form lets users select stablecoin or Cash (fiat); fiat reveals currency, uses manual CASH assets, and restricts storage to broker/bank.</x:v>
      </x:c>
      <x:c r="G29" s="10" t="str">
        <x:v>SGD fallback versus real FX, changing type after storage selected, bank defaults.</x:v>
      </x:c>
      <x:c r="H29" s="10" t="str">
        <x:v>packages/frontend/src/components/portfolio/PositionForm.tsx; positionOptions.ts; packages/backend/src/routes/assets.ts</x:v>
      </x:c>
      <x:c r="I29" s="20" t="str">
        <x:v>Pass</x:v>
      </x:c>
      <x:c r="J29" s="10" t="str">
        <x:v>Static code review plus route QA</x:v>
      </x:c>
      <x:c r="K29" s="10" t="str">
        <x:v>docs/qa/user-facing-inventory.md Cash Positions</x:v>
      </x:c>
      <x:c r="L29" s="10" t="str"/>
      <x:c r="M29" s="20" t="str">
        <x:v>N/A</x:v>
      </x:c>
      <x:c r="N29" s="10" t="str">
        <x:v>Pass</x:v>
      </x:c>
      <x:c r="O29" s="10" t="str">
        <x:v>2026-06-24</x:v>
      </x:c>
      <x:c r="P29" s="15" t="str">
        <x:v>Seed data includes USD/SGD cash and stablecoins.</x:v>
      </x:c>
    </x:row>
    <x:row r="30">
      <x:c r="A30" s="14" t="str">
        <x:v>PORT-009</x:v>
      </x:c>
      <x:c r="B30" s="10" t="str">
        <x:v>Portfolio</x:v>
      </x:c>
      <x:c r="C30" s="10" t="str">
        <x:v>Local-currency equities</x:v>
      </x:c>
      <x:c r="D30" s="10" t="str">
        <x:v>Signed-in user</x:v>
      </x:c>
      <x:c r="E30" s="10" t="str">
        <x:v>As a user, I want listed equities in SGD/JPY/TWD/KRW/NOK to use local cost inputs and USD persistence.</x:v>
      </x:c>
      <x:c r="F30" s="10" t="str">
        <x:v>Create/edit waits for a real FX row before non-USD cost conversion; display shows app currency primary and muted native price/avg-cost second line.</x:v>
      </x:c>
      <x:c r="G30" s="10" t="str">
        <x:v>FX rates still loading, zero-decimal currencies, edit initialized from stored USD.</x:v>
      </x:c>
      <x:c r="H30" s="10" t="str">
        <x:v>packages/frontend/src/components/portfolio/PositionForm.tsx; positionPriceDisplay.ts; packages/backend/src/routes/fx.ts; packages/backend/src/lib/fxConstants.ts</x:v>
      </x:c>
      <x:c r="I30" s="20" t="str">
        <x:v>Pass</x:v>
      </x:c>
      <x:c r="J30" s="10" t="str">
        <x:v>Static code review and provider tests</x:v>
      </x:c>
      <x:c r="K30" s="10" t="str">
        <x:v>docs/qa/user-facing-inventory.md Equity Positions</x:v>
      </x:c>
      <x:c r="L30" s="10" t="str"/>
      <x:c r="M30" s="20" t="str">
        <x:v>N/A</x:v>
      </x:c>
      <x:c r="N30" s="10" t="str">
        <x:v>Pass</x:v>
      </x:c>
      <x:c r="O30" s="10" t="str">
        <x:v>2026-06-24</x:v>
      </x:c>
      <x:c r="P30" s="15" t="str">
        <x:v>Seed data includes local-currency equity.</x:v>
      </x:c>
    </x:row>
    <x:row r="31">
      <x:c r="A31" s="14" t="str">
        <x:v>PORT-010</x:v>
      </x:c>
      <x:c r="B31" s="10" t="str">
        <x:v>Portfolio</x:v>
      </x:c>
      <x:c r="C31" s="10" t="str">
        <x:v>Unit trust manual NAV</x:v>
      </x:c>
      <x:c r="D31" s="10" t="str">
        <x:v>Signed-in user</x:v>
      </x:c>
      <x:c r="E31" s="10" t="str">
        <x:v>As a unit-trust holder, I want manual NAV updates and age badges so stale pricing is visible.</x:v>
      </x:c>
      <x:c r="F31" s="10" t="str">
        <x:v>Manual-priced non-cash positions and unit trusts show NAV age; Update NAV modal patches asset NAV, updates price date/notes, and recomputes visible linked position values.</x:v>
      </x:c>
      <x:c r="G31" s="10" t="str">
        <x:v>Invalid NAV, old NAV date, multiple positions share one manual asset.</x:v>
      </x:c>
      <x:c r="H31" s="10" t="str">
        <x:v>packages/frontend/src/components/portfolio/UpdateNavModal.tsx; PositionTable.tsx; packages/backend/src/routes/assets.ts</x:v>
      </x:c>
      <x:c r="I31" s="20" t="str">
        <x:v>Pass</x:v>
      </x:c>
      <x:c r="J31" s="10" t="str">
        <x:v>Safe open-state pass plus demo/API tests</x:v>
      </x:c>
      <x:c r="K31" s="10" t="str">
        <x:v>docs/qa/2026-06-23-production-scale-demo-qa.md BUG-001; docs/qa/2026-06-23-real-local-scale-qa.md</x:v>
      </x:c>
      <x:c r="L31" s="10" t="str">
        <x:v>BUG-001</x:v>
      </x:c>
      <x:c r="M31" s="24" t="str">
        <x:v>Fixed</x:v>
      </x:c>
      <x:c r="N31" s="10" t="str">
        <x:v>Pass</x:v>
      </x:c>
      <x:c r="O31" s="10" t="str">
        <x:v>2026-06-24</x:v>
      </x:c>
      <x:c r="P31" s="15" t="str">
        <x:v>NAV dialog opened in safe pass; demo mutation coverage exists.</x:v>
      </x:c>
    </x:row>
    <x:row r="32">
      <x:c r="A32" s="14" t="str">
        <x:v>PORT-011</x:v>
      </x:c>
      <x:c r="B32" s="10" t="str">
        <x:v>Portfolio</x:v>
      </x:c>
      <x:c r="C32" s="10" t="str">
        <x:v>Unit trust PDF import</x:v>
      </x:c>
      <x:c r="D32" s="10" t="str">
        <x:v>Signed-in user</x:v>
      </x:c>
      <x:c r="E32" s="10" t="str">
        <x:v>As a unit-trust holder, I want broker PDF statements parsed into holdings to avoid manual typing.</x:v>
      </x:c>
      <x:c r="F32" s="10" t="str">
        <x:v>PDF upload accepts PDF only, parses UOB Kay Hian and FSMOne statements, returns holdings, and matches imported holdings to existing unit-trust positions by ISIN/provider/symbol/name/location.</x:v>
      </x:c>
      <x:c r="G32" s="10" t="str">
        <x:v>Flattened PDF table text, broker tie-break, malformed PDF, unsupported broker.</x:v>
      </x:c>
      <x:c r="H32" s="10" t="str">
        <x:v>packages/backend/src/routes/assets.ts; packages/backend/src/services/statementParsers/uobKayHian.ts; fsmOne.ts; packages/frontend/src/components/portfolio/statementMatching.ts</x:v>
      </x:c>
      <x:c r="I32" s="20" t="str">
        <x:v>Pass</x:v>
      </x:c>
      <x:c r="J32" s="10" t="str">
        <x:v>Parser and matching unit tests</x:v>
      </x:c>
      <x:c r="K32" s="10" t="str">
        <x:v>packages/backend/src/__tests__/uobKayHianParser.test.ts if present; fsmOneParser.test.ts; packages/frontend/src/components/portfolio/__tests__/statementMatching.test.ts</x:v>
      </x:c>
      <x:c r="L32" s="10" t="str"/>
      <x:c r="M32" s="20" t="str">
        <x:v>N/A</x:v>
      </x:c>
      <x:c r="N32" s="10" t="str">
        <x:v>Pass</x:v>
      </x:c>
      <x:c r="O32" s="10" t="str">
        <x:v>2026-06-24</x:v>
      </x:c>
      <x:c r="P32" s="15" t="str">
        <x:v>Statement matching coverage is explicit; browser file-upload path remains non-destructive in safe QA.</x:v>
      </x:c>
    </x:row>
    <x:row r="33">
      <x:c r="A33" s="14" t="str">
        <x:v>PORT-012</x:v>
      </x:c>
      <x:c r="B33" s="10" t="str">
        <x:v>Portfolio</x:v>
      </x:c>
      <x:c r="C33" s="10" t="str">
        <x:v>Edit totals</x:v>
      </x:c>
      <x:c r="D33" s="10" t="str">
        <x:v>Signed-in user</x:v>
      </x:c>
      <x:c r="E33" s="10" t="str">
        <x:v>As a user, I want to correct a position's total quantity/cost when historical data needs a reset.</x:v>
      </x:c>
      <x:c r="F33" s="10" t="str">
        <x:v>Edit Totals tab updates quantity/cost/asset/storage/custody, creates a reset history boundary when aggregate values change, and preserves validation.</x:v>
      </x:c>
      <x:c r="G33" s="10" t="str">
        <x:v>Clearing custody, asset change, stale totals, reset row display.</x:v>
      </x:c>
      <x:c r="H33" s="10" t="str">
        <x:v>packages/frontend/src/components/portfolio/PositionForm.tsx; packages/backend/src/routes/positions.ts</x:v>
      </x:c>
      <x:c r="I33" s="20" t="str">
        <x:v>Pass</x:v>
      </x:c>
      <x:c r="J33" s="10" t="str">
        <x:v>Backend route tests and form code review</x:v>
      </x:c>
      <x:c r="K33" s="10" t="str">
        <x:v>packages/backend/src/__tests__/routes/positions.test.ts</x:v>
      </x:c>
      <x:c r="L33" s="10" t="str"/>
      <x:c r="M33" s="20" t="str">
        <x:v>N/A</x:v>
      </x:c>
      <x:c r="N33" s="10" t="str">
        <x:v>Pass</x:v>
      </x:c>
      <x:c r="O33" s="10" t="str">
        <x:v>2026-06-24</x:v>
      </x:c>
      <x:c r="P33" s="15" t="str">
        <x:v>Manual reset history described in AGENTS/FORET and covered by route tests.</x:v>
      </x:c>
    </x:row>
    <x:row r="34">
      <x:c r="A34" s="14" t="str">
        <x:v>PORT-013</x:v>
      </x:c>
      <x:c r="B34" s="10" t="str">
        <x:v>Portfolio</x:v>
      </x:c>
      <x:c r="C34" s="10" t="str">
        <x:v>Add/reduce position</x:v>
      </x:c>
      <x:c r="D34" s="10" t="str">
        <x:v>Signed-in user</x:v>
      </x:c>
      <x:c r="E34" s="10" t="str">
        <x:v>As a user, I want to add or reduce a position while preserving weighted average cost correctly.</x:v>
      </x:c>
      <x:c r="F34" s="10" t="str">
        <x:v>Add asks for quantity and cost, reduce asks for quantity only, preview shows old/new totals, backend validates delta metadata, and add/reduce history is written transactionally.</x:v>
      </x:c>
      <x:c r="G34" s="10" t="str">
        <x:v>Reduce to zero, funded add, stale current totals, skip-confirm localStorage.</x:v>
      </x:c>
      <x:c r="H34" s="10" t="str">
        <x:v>packages/frontend/src/components/portfolio/PositionDeltaEditor.tsx; positionFormMath.ts; packages/backend/src/routes/positions.ts; packages/shared/src/types.ts</x:v>
      </x:c>
      <x:c r="I34" s="20" t="str">
        <x:v>Pass</x:v>
      </x:c>
      <x:c r="J34" s="10" t="str">
        <x:v>Unit tests and backend route tests</x:v>
      </x:c>
      <x:c r="K34" s="10" t="str">
        <x:v>packages/frontend/src/components/portfolio/__tests__/positionFormMath.test.ts; packages/backend/src/__tests__/routes/positions.test.ts</x:v>
      </x:c>
      <x:c r="L34" s="10" t="str"/>
      <x:c r="M34" s="20" t="str">
        <x:v>N/A</x:v>
      </x:c>
      <x:c r="N34" s="10" t="str">
        <x:v>Pass</x:v>
      </x:c>
      <x:c r="O34" s="10" t="str">
        <x:v>2026-06-24</x:v>
      </x:c>
      <x:c r="P34" s="15" t="str">
        <x:v>Pure helper shared by preview and submit path.</x:v>
      </x:c>
    </x:row>
    <x:row r="35">
      <x:c r="A35" s="14" t="str">
        <x:v>PORT-014</x:v>
      </x:c>
      <x:c r="B35" s="10" t="str">
        <x:v>Portfolio</x:v>
      </x:c>
      <x:c r="C35" s="10" t="str">
        <x:v>Cancel position history</x:v>
      </x:c>
      <x:c r="D35" s="10" t="str">
        <x:v>Signed-in user</x:v>
      </x:c>
      <x:c r="E35" s="10" t="str">
        <x:v>As a user, I want to cancel the newest safe add/reduce entry if I made a mistake.</x:v>
      </x:c>
      <x:c r="F35" s="10" t="str">
        <x:v>Only the newest add/reduce history row can be canceled when current totals still match; funded add cancellation restores linked cash pile via operationId.</x:v>
      </x:c>
      <x:c r="G35" s="10" t="str">
        <x:v>Older row, reset row, current totals changed, linked cash restore.</x:v>
      </x:c>
      <x:c r="H35" s="10" t="str">
        <x:v>packages/backend/src/routes/positions.ts; packages/frontend/src/components/portfolio/PositionRow.tsx</x:v>
      </x:c>
      <x:c r="I35" s="20" t="str">
        <x:v>Pass</x:v>
      </x:c>
      <x:c r="J35" s="10" t="str">
        <x:v>Backend route tests</x:v>
      </x:c>
      <x:c r="K35" s="10" t="str">
        <x:v>packages/backend/src/__tests__/routes/positions.test.ts</x:v>
      </x:c>
      <x:c r="L35" s="10" t="str"/>
      <x:c r="M35" s="20" t="str">
        <x:v>N/A</x:v>
      </x:c>
      <x:c r="N35" s="10" t="str">
        <x:v>Pass</x:v>
      </x:c>
      <x:c r="O35" s="10" t="str">
        <x:v>2026-06-24</x:v>
      </x:c>
      <x:c r="P35" s="15" t="str">
        <x:v>Not executed destructively in browser safe pass.</x:v>
      </x:c>
    </x:row>
    <x:row r="36">
      <x:c r="A36" s="14" t="str">
        <x:v>PORT-015</x:v>
      </x:c>
      <x:c r="B36" s="10" t="str">
        <x:v>Portfolio</x:v>
      </x:c>
      <x:c r="C36" s="10" t="str">
        <x:v>Copy and export positions</x:v>
      </x:c>
      <x:c r="D36" s="10" t="str">
        <x:v>Signed-in user</x:v>
      </x:c>
      <x:c r="E36" s="10" t="str">
        <x:v>As a user, I want to copy positions or export them to CSV/Excel.</x:v>
      </x:c>
      <x:c r="F36" s="10" t="str">
        <x:v>Copy All writes JSON for all positions; row copy writes one position; CSV and Excel export URLs return attachments.</x:v>
      </x:c>
      <x:c r="G36" s="10" t="str">
        <x:v>Clipboard permission denied, empty portfolio, popup blocked, large export.</x:v>
      </x:c>
      <x:c r="H36" s="10" t="str">
        <x:v>packages/frontend/src/components/portfolio/positionClipboard.ts; packages/backend/src/routes/export.ts</x:v>
      </x:c>
      <x:c r="I36" s="20" t="str">
        <x:v>Pass</x:v>
      </x:c>
      <x:c r="J36" s="10" t="str">
        <x:v>Clipboard pass and HEAD export checks</x:v>
      </x:c>
      <x:c r="K36" s="10" t="str">
        <x:v>docs/qa/2026-06-23-real-local-scale-qa.md Copy, Export, Validation, And Auth Pass</x:v>
      </x:c>
      <x:c r="L36" s="10" t="str">
        <x:v>BUG-005</x:v>
      </x:c>
      <x:c r="M36" s="24" t="str">
        <x:v>Fixed</x:v>
      </x:c>
      <x:c r="N36" s="10" t="str">
        <x:v>Pass</x:v>
      </x:c>
      <x:c r="O36" s="10" t="str">
        <x:v>2026-06-24</x:v>
      </x:c>
      <x:c r="P36" s="15" t="str">
        <x:v>Final export HEAD checks passed 5/5.</x:v>
      </x:c>
    </x:row>
    <x:row r="37">
      <x:c r="A37" s="14" t="str">
        <x:v>PORT-016</x:v>
      </x:c>
      <x:c r="B37" s="10" t="str">
        <x:v>Portfolio</x:v>
      </x:c>
      <x:c r="C37" s="10" t="str">
        <x:v>Delete positions</x:v>
      </x:c>
      <x:c r="D37" s="10" t="str">
        <x:v>Signed-in user</x:v>
      </x:c>
      <x:c r="E37" s="10" t="str">
        <x:v>As a user, I want row delete and delete-all flows protected by confirmations.</x:v>
      </x:c>
      <x:c r="F37" s="10" t="str">
        <x:v>Delete dialogs show target/count, Cancel closes with no mutation, confirmed delete invalidates queries and rolls back optimistic state on error.</x:v>
      </x:c>
      <x:c r="G37" s="10" t="str">
        <x:v>Cancel path, failed delete rollback, skip confirmation setting, delete all.</x:v>
      </x:c>
      <x:c r="H37" s="10" t="str">
        <x:v>packages/frontend/src/pages/Portfolio.tsx; packages/frontend/src/hooks/usePortfolio.ts; packages/backend/src/routes/positions.ts</x:v>
      </x:c>
      <x:c r="I37" s="20" t="str">
        <x:v>Pass</x:v>
      </x:c>
      <x:c r="J37" s="10" t="str">
        <x:v>Destructive cancel rerun and backend tests</x:v>
      </x:c>
      <x:c r="K37" s="10" t="str">
        <x:v>docs/qa/2026-06-23-real-local-scale-qa.md destructive cancel rerun</x:v>
      </x:c>
      <x:c r="L37" s="10" t="str"/>
      <x:c r="M37" s="20" t="str">
        <x:v>N/A</x:v>
      </x:c>
      <x:c r="N37" s="10" t="str">
        <x:v>Pass</x:v>
      </x:c>
      <x:c r="O37" s="10" t="str">
        <x:v>2026-06-24</x:v>
      </x:c>
      <x:c r="P37" s="15" t="str">
        <x:v>Confirming destructive delete was not performed in safe browser pass.</x:v>
      </x:c>
    </x:row>
    <x:row r="38">
      <x:c r="A38" s="14" t="str">
        <x:v>PORT-017</x:v>
      </x:c>
      <x:c r="B38" s="10" t="str">
        <x:v>Portfolio</x:v>
      </x:c>
      <x:c r="C38" s="10" t="str">
        <x:v>JSON bulk import</x:v>
      </x:c>
      <x:c r="D38" s="10" t="str">
        <x:v>Signed-in user</x:v>
      </x:c>
      <x:c r="E38" s="10" t="str">
        <x:v>As a user, I want to paste/import positions in bulk from JSON.</x:v>
      </x:c>
      <x:c r="F38" s="10" t="str">
        <x:v>Import tab parses JSON, honors existing asset matching, returns per-row success/error results, and updates visible positions on success.</x:v>
      </x:c>
      <x:c r="G38" s="10" t="str">
        <x:v>Malformed JSON, existing symbol, provider metadata, custody fields.</x:v>
      </x:c>
      <x:c r="H38" s="10" t="str">
        <x:v>packages/frontend/src/components/portfolio/PositionImportTab.tsx; packages/backend/src/routes/positions.ts; packages/frontend/src/dev/demoMode.tsx</x:v>
      </x:c>
      <x:c r="I38" s="20" t="str">
        <x:v>Pass</x:v>
      </x:c>
      <x:c r="J38" s="10" t="str">
        <x:v>Demo import QA and backend route tests</x:v>
      </x:c>
      <x:c r="K38" s="10" t="str">
        <x:v>docs/qa/2026-06-23-production-scale-demo-qa.md BUG-001</x:v>
      </x:c>
      <x:c r="L38" s="10" t="str">
        <x:v>BUG-001</x:v>
      </x:c>
      <x:c r="M38" s="24" t="str">
        <x:v>Fixed</x:v>
      </x:c>
      <x:c r="N38" s="10" t="str">
        <x:v>Pass</x:v>
      </x:c>
      <x:c r="O38" s="10" t="str">
        <x:v>2026-06-24</x:v>
      </x:c>
      <x:c r="P38" s="15" t="str">
        <x:v>Demo mock now mutates visible state for import workflows.</x:v>
      </x:c>
    </x:row>
    <x:row r="39">
      <x:c r="A39" s="14" t="str">
        <x:v>TRADE-001</x:v>
      </x:c>
      <x:c r="B39" s="10" t="str">
        <x:v>Trades</x:v>
      </x:c>
      <x:c r="C39" s="10" t="str">
        <x:v>/trades</x:v>
      </x:c>
      <x:c r="D39" s="10" t="str">
        <x:v>Trader</x:v>
      </x:c>
      <x:c r="E39" s="10" t="str">
        <x:v>As a trader, I want a trade tape with All/Open/Closed filters.</x:v>
      </x:c>
      <x:c r="F39" s="10" t="str">
        <x:v>The table fetches all trades once, filters locally by status, and counts match visible rows across all lenses.</x:v>
      </x:c>
      <x:c r="G39" s="10" t="str">
        <x:v>Open trade without exit, 240 rows, ticker-filtered counts.</x:v>
      </x:c>
      <x:c r="H39" s="10" t="str">
        <x:v>packages/frontend/src/pages/Trades.tsx; packages/frontend/src/components/trades/TradeTapeSection.tsx; packages/backend/src/routes/trades.ts</x:v>
      </x:c>
      <x:c r="I39" s="20" t="str">
        <x:v>Pass</x:v>
      </x:c>
      <x:c r="J39" s="10" t="str">
        <x:v>Clean route matrix</x:v>
      </x:c>
      <x:c r="K39" s="10" t="str">
        <x:v>.codex-qa/clean-inventory-2026-06-24T12-46-01/trades.png</x:v>
      </x:c>
      <x:c r="L39" s="10" t="str"/>
      <x:c r="M39" s="20" t="str">
        <x:v>N/A</x:v>
      </x:c>
      <x:c r="N39" s="10" t="str">
        <x:v>Pass</x:v>
      </x:c>
      <x:c r="O39" s="10" t="str">
        <x:v>2026-06-24</x:v>
      </x:c>
      <x:c r="P39" s="15" t="str">
        <x:v>Expected All 240, Open 40, Closed 200.</x:v>
      </x:c>
    </x:row>
    <x:row r="40">
      <x:c r="A40" s="14" t="str">
        <x:v>TRADE-002</x:v>
      </x:c>
      <x:c r="B40" s="10" t="str">
        <x:v>Trades</x:v>
      </x:c>
      <x:c r="C40" s="10" t="str">
        <x:v>Review lens</x:v>
      </x:c>
      <x:c r="D40" s="10" t="str">
        <x:v>Trader</x:v>
      </x:c>
      <x:c r="E40" s="10" t="str">
        <x:v>As a trader, I want review stats and ticker PnL before the tape.</x:v>
      </x:c>
      <x:c r="F40" s="10" t="str">
        <x:v>Review lens shows collapsed trade stats, collapsed ticker PnL, and shared tape; notable trade clicks highlight the row.</x:v>
      </x:c>
      <x:c r="G40" s="10" t="str">
        <x:v>No trades, duplicate ticker, large win/loss.</x:v>
      </x:c>
      <x:c r="H40" s="10" t="str">
        <x:v>packages/frontend/src/pages/Trades.tsx; packages/frontend/src/components/dashboard/TradeStatsCard.tsx; packages/frontend/src/components/trades/TickerPnLCard.tsx</x:v>
      </x:c>
      <x:c r="I40" s="20" t="str">
        <x:v>Pass</x:v>
      </x:c>
      <x:c r="J40" s="10" t="str">
        <x:v>Clean route matrix and component tests</x:v>
      </x:c>
      <x:c r="K40" s="10" t="str">
        <x:v>packages/frontend/src/components/trades/__tests__/TickerPnLCard.test.tsx</x:v>
      </x:c>
      <x:c r="L40" s="10" t="str"/>
      <x:c r="M40" s="20" t="str">
        <x:v>N/A</x:v>
      </x:c>
      <x:c r="N40" s="10" t="str">
        <x:v>Pass</x:v>
      </x:c>
      <x:c r="O40" s="10" t="str">
        <x:v>2026-06-24</x:v>
      </x:c>
      <x:c r="P40" s="15" t="str">
        <x:v>Subtitle currently reports analytics closed-trade total from API.</x:v>
      </x:c>
    </x:row>
    <x:row r="41">
      <x:c r="A41" s="14" t="str">
        <x:v>TRADE-003</x:v>
      </x:c>
      <x:c r="B41" s="10" t="str">
        <x:v>Trades</x:v>
      </x:c>
      <x:c r="C41" s="10" t="str">
        <x:v>Ticker dossier lens</x:v>
      </x:c>
      <x:c r="D41" s="10" t="str">
        <x:v>Trader</x:v>
      </x:c>
      <x:c r="E41" s="10" t="str">
        <x:v>As a trader, I want to focus on one ticker's performance and recent trades.</x:v>
      </x:c>
      <x:c r="F41" s="10" t="str">
        <x:v>Ticker lens derives dossiers from fetched trades, supports ticker chip navigation, shows PnL/win-rate/hold stats/tags, and clears ticker query param.</x:v>
      </x:c>
      <x:c r="G41" s="10" t="str">
        <x:v>No selected ticker, ticker with only open trades, repeated symbol.</x:v>
      </x:c>
      <x:c r="H41" s="10" t="str">
        <x:v>packages/frontend/src/components/trades/TradeLensViews.tsx; tradeLensModels.ts; packages/frontend/src/pages/Trades.tsx</x:v>
      </x:c>
      <x:c r="I41" s="20" t="str">
        <x:v>Pass</x:v>
      </x:c>
      <x:c r="J41" s="10" t="str">
        <x:v>Safe open-state pass and pure model tests by code review</x:v>
      </x:c>
      <x:c r="K41" s="10" t="str">
        <x:v>docs/qa/2026-06-23-real-local-scale-qa.md Safe Open-State Pass</x:v>
      </x:c>
      <x:c r="L41" s="10" t="str"/>
      <x:c r="M41" s="20" t="str">
        <x:v>N/A</x:v>
      </x:c>
      <x:c r="N41" s="10" t="str">
        <x:v>Pass</x:v>
      </x:c>
      <x:c r="O41" s="10" t="str">
        <x:v>2026-06-24</x:v>
      </x:c>
      <x:c r="P41" s="15" t="str">
        <x:v>Ticker lens switched during safe pass.</x:v>
      </x:c>
    </x:row>
    <x:row r="42">
      <x:c r="A42" s="14" t="str">
        <x:v>TRADE-004</x:v>
      </x:c>
      <x:c r="B42" s="10" t="str">
        <x:v>Trades</x:v>
      </x:c>
      <x:c r="C42" s="10" t="str">
        <x:v>Monthly postmortem lens</x:v>
      </x:c>
      <x:c r="D42" s="10" t="str">
        <x:v>Trader</x:v>
      </x:c>
      <x:c r="E42" s="10" t="str">
        <x:v>As a trader, I want monthly postmortems to review repeatable edges and loss patterns.</x:v>
      </x:c>
      <x:c r="F42" s="10" t="str">
        <x:v>Monthly lens builds month summaries, repeatable-edge tags, loss review, and open-trade watchlist from the same trade dataset.</x:v>
      </x:c>
      <x:c r="G42" s="10" t="str">
        <x:v>Month with only open trades, no tags, large losses.</x:v>
      </x:c>
      <x:c r="H42" s="10" t="str">
        <x:v>packages/frontend/src/components/trades/TradeLensViews.tsx; tradeLensModels.ts</x:v>
      </x:c>
      <x:c r="I42" s="20" t="str">
        <x:v>Pass</x:v>
      </x:c>
      <x:c r="J42" s="10" t="str">
        <x:v>Safe open-state pass</x:v>
      </x:c>
      <x:c r="K42" s="10" t="str">
        <x:v>docs/qa/2026-06-23-real-local-scale-qa.md Interaction Evidence</x:v>
      </x:c>
      <x:c r="L42" s="10" t="str"/>
      <x:c r="M42" s="20" t="str">
        <x:v>N/A</x:v>
      </x:c>
      <x:c r="N42" s="10" t="str">
        <x:v>Pass</x:v>
      </x:c>
      <x:c r="O42" s="10" t="str">
        <x:v>2026-06-24</x:v>
      </x:c>
      <x:c r="P42" s="15" t="str">
        <x:v>Monthly lens rendered against 240 trades.</x:v>
      </x:c>
    </x:row>
    <x:row r="43">
      <x:c r="A43" s="14" t="str">
        <x:v>TRADE-005</x:v>
      </x:c>
      <x:c r="B43" s="10" t="str">
        <x:v>Trades</x:v>
      </x:c>
      <x:c r="C43" s="10" t="str">
        <x:v>Trade row detail</x:v>
      </x:c>
      <x:c r="D43" s="10" t="str">
        <x:v>Trader</x:v>
      </x:c>
      <x:c r="E43" s="10" t="str">
        <x:v>As a trader, I want to open trade details by mouse or keyboard.</x:v>
      </x:c>
      <x:c r="F43" s="10" t="str">
        <x:v>Rows are clickable and keyboard activatable with Enter/Space; action cells stop propagation; detail dialog supports copy/edit/delete.</x:v>
      </x:c>
      <x:c r="G43" s="10" t="str">
        <x:v>Keyboard focus, action icon click, highlighted row after stat click.</x:v>
      </x:c>
      <x:c r="H43" s="10" t="str">
        <x:v>packages/frontend/src/components/trades/TradeTable.tsx; TradeDetailDialog.tsx</x:v>
      </x:c>
      <x:c r="I43" s="20" t="str">
        <x:v>Pass</x:v>
      </x:c>
      <x:c r="J43" s="10" t="str">
        <x:v>Playwright interaction pass</x:v>
      </x:c>
      <x:c r="K43" s="10" t="str">
        <x:v>.codex-qa/clean-inventory-2026-06-24T12-46-01/evidence.json interactions Trade row detail open</x:v>
      </x:c>
      <x:c r="L43" s="10" t="str"/>
      <x:c r="M43" s="20" t="str">
        <x:v>N/A</x:v>
      </x:c>
      <x:c r="N43" s="10" t="str">
        <x:v>Pass</x:v>
      </x:c>
      <x:c r="O43" s="10" t="str">
        <x:v>2026-06-24</x:v>
      </x:c>
      <x:c r="P43" s="15" t="str">
        <x:v>Final interaction evidence passed.</x:v>
      </x:c>
    </x:row>
    <x:row r="44">
      <x:c r="A44" s="14" t="str">
        <x:v>TRADE-006</x:v>
      </x:c>
      <x:c r="B44" s="10" t="str">
        <x:v>Trades</x:v>
      </x:c>
      <x:c r="C44" s="10" t="str">
        <x:v>Log trade form</x:v>
      </x:c>
      <x:c r="D44" s="10" t="str">
        <x:v>Trader</x:v>
      </x:c>
      <x:c r="E44" s="10" t="str">
        <x:v>As a trader, I want to log long/short open or closed trades.</x:v>
      </x:c>
      <x:c r="F44" s="10" t="str">
        <x:v>Form requires asset, positive quantity, positive entry price, optional exit price/date for closed trades, and computes direction/status/PnL through backend.</x:v>
      </x:c>
      <x:c r="G44" s="10" t="str">
        <x:v>Short PnL, zero quantity, negative price, exit before entry, missing exit price.</x:v>
      </x:c>
      <x:c r="H44" s="10" t="str">
        <x:v>packages/frontend/src/components/trades/TradeForm.tsx; packages/backend/src/routes/trades.ts; packages/backend/src/lib/tradePnL.ts</x:v>
      </x:c>
      <x:c r="I44" s="20" t="str">
        <x:v>Pass</x:v>
      </x:c>
      <x:c r="J44" s="10" t="str">
        <x:v>Invalid guard pass and backend route/unit tests</x:v>
      </x:c>
      <x:c r="K44" s="10" t="str">
        <x:v>.codex-qa/clean-inventory-2026-06-24T12-46-01/evidence.json interactions Log Trade invalid quantity guard</x:v>
      </x:c>
      <x:c r="L44" s="10" t="str">
        <x:v>BUG-008</x:v>
      </x:c>
      <x:c r="M44" s="24" t="str">
        <x:v>Fixed</x:v>
      </x:c>
      <x:c r="N44" s="10" t="str">
        <x:v>Pass</x:v>
      </x:c>
      <x:c r="O44" s="10" t="str">
        <x:v>2026-06-24</x:v>
      </x:c>
      <x:c r="P44" s="15" t="str">
        <x:v>Zero quantity leaves submit disabled.</x:v>
      </x:c>
    </x:row>
    <x:row r="45">
      <x:c r="A45" s="14" t="str">
        <x:v>TRADE-007</x:v>
      </x:c>
      <x:c r="B45" s="10" t="str">
        <x:v>Trades</x:v>
      </x:c>
      <x:c r="C45" s="10" t="str">
        <x:v>Edit and close trade</x:v>
      </x:c>
      <x:c r="D45" s="10" t="str">
        <x:v>Trader</x:v>
      </x:c>
      <x:c r="E45" s="10" t="str">
        <x:v>As a trader, I want to edit a trade or close an open trade.</x:v>
      </x:c>
      <x:c r="F45" s="10" t="str">
        <x:v>Edit dialog reuses TradeForm; close endpoint updates exit price/date/notes and realized PnL; mutations invalidate trade analytics and list data.</x:v>
      </x:c>
      <x:c r="G45" s="10" t="str">
        <x:v>Open trade close without exit date, stale analytics, failed mutation rollback.</x:v>
      </x:c>
      <x:c r="H45" s="10" t="str">
        <x:v>packages/frontend/src/pages/Trades.tsx; packages/frontend/src/components/trades/TradeForm.tsx; packages/backend/src/routes/trades.ts</x:v>
      </x:c>
      <x:c r="I45" s="20" t="str">
        <x:v>Pass</x:v>
      </x:c>
      <x:c r="J45" s="10" t="str">
        <x:v>Backend route tests and open-state QA</x:v>
      </x:c>
      <x:c r="K45" s="10" t="str">
        <x:v>packages/backend/src/__tests__/routes/trades.test.ts</x:v>
      </x:c>
      <x:c r="L45" s="10" t="str"/>
      <x:c r="M45" s="20" t="str">
        <x:v>N/A</x:v>
      </x:c>
      <x:c r="N45" s="10" t="str">
        <x:v>Pass</x:v>
      </x:c>
      <x:c r="O45" s="10" t="str">
        <x:v>2026-06-24</x:v>
      </x:c>
      <x:c r="P45" s="15" t="str">
        <x:v>Safe pass opened edit path; close mutation covered by API tests.</x:v>
      </x:c>
    </x:row>
    <x:row r="46">
      <x:c r="A46" s="14" t="str">
        <x:v>TRADE-008</x:v>
      </x:c>
      <x:c r="B46" s="10" t="str">
        <x:v>Trades</x:v>
      </x:c>
      <x:c r="C46" s="10" t="str">
        <x:v>Trade import</x:v>
      </x:c>
      <x:c r="D46" s="10" t="str">
        <x:v>Trader</x:v>
      </x:c>
      <x:c r="E46" s="10" t="str">
        <x:v>As a trader, I want to import trades from JSON with per-row results.</x:v>
      </x:c>
      <x:c r="F46" s="10" t="str">
        <x:v>Import tab parses JSON array, normalizes assets, calls bulk-import, and displays success/error results.</x:v>
      </x:c>
      <x:c r="G46" s="10" t="str">
        <x:v>Malformed JSON, duplicate asset symbol, open trades, short trades.</x:v>
      </x:c>
      <x:c r="H46" s="10" t="str">
        <x:v>packages/frontend/src/components/trades/TradeImportTab.tsx; packages/backend/src/routes/trades.ts; packages/frontend/src/dev/demoMode.tsx</x:v>
      </x:c>
      <x:c r="I46" s="20" t="str">
        <x:v>Pass</x:v>
      </x:c>
      <x:c r="J46" s="10" t="str">
        <x:v>Demo import QA and backend route tests</x:v>
      </x:c>
      <x:c r="K46" s="10" t="str">
        <x:v>docs/qa/2026-06-23-production-scale-demo-qa.md BUG-001</x:v>
      </x:c>
      <x:c r="L46" s="10" t="str">
        <x:v>BUG-001</x:v>
      </x:c>
      <x:c r="M46" s="24" t="str">
        <x:v>Fixed</x:v>
      </x:c>
      <x:c r="N46" s="10" t="str">
        <x:v>Pass</x:v>
      </x:c>
      <x:c r="O46" s="10" t="str">
        <x:v>2026-06-24</x:v>
      </x:c>
      <x:c r="P46" s="15" t="str">
        <x:v>Demo mock now returns results array and mutates analytics.</x:v>
      </x:c>
    </x:row>
    <x:row r="47">
      <x:c r="A47" s="14" t="str">
        <x:v>TRADE-009</x:v>
      </x:c>
      <x:c r="B47" s="10" t="str">
        <x:v>Trades</x:v>
      </x:c>
      <x:c r="C47" s="10" t="str">
        <x:v>Copy/export/delete trades</x:v>
      </x:c>
      <x:c r="D47" s="10" t="str">
        <x:v>Trader</x:v>
      </x:c>
      <x:c r="E47" s="10" t="str">
        <x:v>As a trader, I want to copy, export, or delete trade records.</x:v>
      </x:c>
      <x:c r="F47" s="10" t="str">
        <x:v>Copy All/row/detail write JSON; export all/open/closed trade CSVs return attachments; delete dialogs cancel safely and confirmed deletes invalidate queries.</x:v>
      </x:c>
      <x:c r="G47" s="10" t="str">
        <x:v>Clipboard permission, empty list, export filter, cancel path, failed delete rollback.</x:v>
      </x:c>
      <x:c r="H47" s="10" t="str">
        <x:v>packages/frontend/src/components/trades/tradeClipboard.ts; packages/frontend/src/pages/Trades.tsx; packages/backend/src/routes/export.ts</x:v>
      </x:c>
      <x:c r="I47" s="20" t="str">
        <x:v>Pass</x:v>
      </x:c>
      <x:c r="J47" s="10" t="str">
        <x:v>Clipboard pass, HEAD export checks, destructive cancel rerun</x:v>
      </x:c>
      <x:c r="K47" s="10" t="str">
        <x:v>docs/qa/2026-06-23-real-local-scale-qa.md Copy, Export, Validation, And Auth Pass</x:v>
      </x:c>
      <x:c r="L47" s="10" t="str"/>
      <x:c r="M47" s="20" t="str">
        <x:v>N/A</x:v>
      </x:c>
      <x:c r="N47" s="10" t="str">
        <x:v>Pass</x:v>
      </x:c>
      <x:c r="O47" s="10" t="str">
        <x:v>2026-06-24</x:v>
      </x:c>
      <x:c r="P47" s="15" t="str">
        <x:v>Final export checks covered all/open/closed CSV.</x:v>
      </x:c>
    </x:row>
    <x:row r="48">
      <x:c r="A48" s="14" t="str">
        <x:v>HIST-001</x:v>
      </x:c>
      <x:c r="B48" s="10" t="str">
        <x:v>History</x:v>
      </x:c>
      <x:c r="C48" s="10" t="str">
        <x:v>/history</x:v>
      </x:c>
      <x:c r="D48" s="10" t="str">
        <x:v>Signed-in user</x:v>
      </x:c>
      <x:c r="E48" s="10" t="str">
        <x:v>As a user, I want snapshot counts and source filters for portfolio history.</x:v>
      </x:c>
      <x:c r="F48" s="10" t="str">
        <x:v>History fetches up to 500 snapshots, displays total/automatic/manual counts, and filters rows using Radix tabs.</x:v>
      </x:c>
      <x:c r="G48" s="10" t="str">
        <x:v>390 rows, API default pagination, source mismatch.</x:v>
      </x:c>
      <x:c r="H48" s="10" t="str">
        <x:v>packages/frontend/src/pages/History.tsx; packages/frontend/src/hooks/useSnapshots.ts; packages/backend/src/routes/snapshots.ts</x:v>
      </x:c>
      <x:c r="I48" s="20" t="str">
        <x:v>Pass</x:v>
      </x:c>
      <x:c r="J48" s="10" t="str">
        <x:v>Clean route matrix and hook test</x:v>
      </x:c>
      <x:c r="K48" s="10" t="str">
        <x:v>.codex-qa/clean-inventory-2026-06-24T12-46-01/history.png</x:v>
      </x:c>
      <x:c r="L48" s="10" t="str">
        <x:v>BUG-004</x:v>
      </x:c>
      <x:c r="M48" s="24" t="str">
        <x:v>Fixed</x:v>
      </x:c>
      <x:c r="N48" s="10" t="str">
        <x:v>Pass</x:v>
      </x:c>
      <x:c r="O48" s="10" t="str">
        <x:v>2026-06-24</x:v>
      </x:c>
      <x:c r="P48" s="15" t="str">
        <x:v>Final evidence expected All 390, Automatic 377, Manual 13.</x:v>
      </x:c>
    </x:row>
    <x:row r="49">
      <x:c r="A49" s="14" t="str">
        <x:v>HIST-002</x:v>
      </x:c>
      <x:c r="B49" s="10" t="str">
        <x:v>History</x:v>
      </x:c>
      <x:c r="C49" s="10" t="str">
        <x:v>Snapshot table</x:v>
      </x:c>
      <x:c r="D49" s="10" t="str">
        <x:v>Signed-in user</x:v>
      </x:c>
      <x:c r="E49" s="10" t="str">
        <x:v>As a user, I want a table of snapshot values and returns with expandable positions.</x:v>
      </x:c>
      <x:c r="F49" s="10" t="str">
        <x:v>Rows display formatted dates/values/returns, support copy/edit/delete actions, and expand automatic/manual rows to fetch nested snapshot positions.</x:v>
      </x:c>
      <x:c r="G49" s="10" t="str">
        <x:v>Pending today snapshot, empty nested positions, large nested position set.</x:v>
      </x:c>
      <x:c r="H49" s="10" t="str">
        <x:v>packages/frontend/src/components/history/SnapshotTable.tsx; packages/backend/src/routes/snapshots.ts</x:v>
      </x:c>
      <x:c r="I49" s="20" t="str">
        <x:v>Pass</x:v>
      </x:c>
      <x:c r="J49" s="10" t="str">
        <x:v>Copy/expand pass and backend route tests</x:v>
      </x:c>
      <x:c r="K49" s="10" t="str">
        <x:v>docs/qa/2026-06-23-real-local-scale-qa.md Copy, Export, Validation, And Auth Pass</x:v>
      </x:c>
      <x:c r="L49" s="10" t="str"/>
      <x:c r="M49" s="20" t="str">
        <x:v>N/A</x:v>
      </x:c>
      <x:c r="N49" s="10" t="str">
        <x:v>Pass</x:v>
      </x:c>
      <x:c r="O49" s="10" t="str">
        <x:v>2026-06-24</x:v>
      </x:c>
      <x:c r="P49" s="15" t="str">
        <x:v>Automatic row expanded 12 nested positions.</x:v>
      </x:c>
    </x:row>
    <x:row r="50">
      <x:c r="A50" s="14" t="str">
        <x:v>HIST-003</x:v>
      </x:c>
      <x:c r="B50" s="10" t="str">
        <x:v>History</x:v>
      </x:c>
      <x:c r="C50" s="10" t="str">
        <x:v>Add/edit manual snapshot</x:v>
      </x:c>
      <x:c r="D50" s="10" t="str">
        <x:v>Signed-in user</x:v>
      </x:c>
      <x:c r="E50" s="10" t="str">
        <x:v>As a user, I want to add or correct a historical portfolio snapshot.</x:v>
      </x:c>
      <x:c r="F50" s="10" t="str">
        <x:v>Form requires positive total value, supports date/type/source/notes, converts SGD display by FX rate, and disables submit for invalid numeric input.</x:v>
      </x:c>
      <x:c r="G50" s="10" t="str">
        <x:v>Negative value, zero value, duplicate timestamp upsert, automatic row edit.</x:v>
      </x:c>
      <x:c r="H50" s="10" t="str">
        <x:v>packages/frontend/src/components/history/SnapshotForm.tsx; packages/backend/src/routes/snapshots.ts; packages/frontend/src/components/ui/formatted-number-input.tsx</x:v>
      </x:c>
      <x:c r="I50" s="20" t="str">
        <x:v>Pass</x:v>
      </x:c>
      <x:c r="J50" s="10" t="str">
        <x:v>Invalid guard pass and backend route tests</x:v>
      </x:c>
      <x:c r="K50" s="10" t="str">
        <x:v>.codex-qa/clean-inventory-2026-06-24T12-46-01/evidence.json interactions Add Snapshot negative value guard</x:v>
      </x:c>
      <x:c r="L50" s="10" t="str">
        <x:v>BUG-006</x:v>
      </x:c>
      <x:c r="M50" s="24" t="str">
        <x:v>Fixed</x:v>
      </x:c>
      <x:c r="N50" s="10" t="str">
        <x:v>Pass</x:v>
      </x:c>
      <x:c r="O50" s="10" t="str">
        <x:v>2026-06-24</x:v>
      </x:c>
      <x:c r="P50" s="15" t="str">
        <x:v>Entering -1 clears the field and creates no row.</x:v>
      </x:c>
    </x:row>
    <x:row r="51">
      <x:c r="A51" s="14" t="str">
        <x:v>HIST-004</x:v>
      </x:c>
      <x:c r="B51" s="10" t="str">
        <x:v>History</x:v>
      </x:c>
      <x:c r="C51" s="10" t="str">
        <x:v>Snapshot import</x:v>
      </x:c>
      <x:c r="D51" s="10" t="str">
        <x:v>Signed-in user</x:v>
      </x:c>
      <x:c r="E51" s="10" t="str">
        <x:v>As a user, I want to import snapshots from JSON with per-row results.</x:v>
      </x:c>
      <x:c r="F51" s="10" t="str">
        <x:v>Import tab parses JSON, posts bulk snapshots, updates counts/performance data, and surfaces success/error results.</x:v>
      </x:c>
      <x:c r="G51" s="10" t="str">
        <x:v>Malformed JSON, duplicate timestamp, huge history.</x:v>
      </x:c>
      <x:c r="H51" s="10" t="str">
        <x:v>packages/frontend/src/components/history/SnapshotImportTab.tsx; packages/backend/src/routes/snapshots.ts; packages/frontend/src/dev/demoMode.tsx</x:v>
      </x:c>
      <x:c r="I51" s="20" t="str">
        <x:v>Pass</x:v>
      </x:c>
      <x:c r="J51" s="10" t="str">
        <x:v>Demo import QA and backend route tests</x:v>
      </x:c>
      <x:c r="K51" s="10" t="str">
        <x:v>docs/qa/2026-06-23-production-scale-demo-qa.md BUG-001</x:v>
      </x:c>
      <x:c r="L51" s="10" t="str">
        <x:v>BUG-001</x:v>
      </x:c>
      <x:c r="M51" s="24" t="str">
        <x:v>Fixed</x:v>
      </x:c>
      <x:c r="N51" s="10" t="str">
        <x:v>Pass</x:v>
      </x:c>
      <x:c r="O51" s="10" t="str">
        <x:v>2026-06-24</x:v>
      </x:c>
      <x:c r="P51" s="15" t="str">
        <x:v>Demo mock now supports /snapshots/bulk.</x:v>
      </x:c>
    </x:row>
    <x:row r="52">
      <x:c r="A52" s="14" t="str">
        <x:v>HIST-005</x:v>
      </x:c>
      <x:c r="B52" s="10" t="str">
        <x:v>History</x:v>
      </x:c>
      <x:c r="C52" s="10" t="str">
        <x:v>Copy/delete snapshots</x:v>
      </x:c>
      <x:c r="D52" s="10" t="str">
        <x:v>Signed-in user</x:v>
      </x:c>
      <x:c r="E52" s="10" t="str">
        <x:v>As a user, I want to copy snapshots and protect destructive deletes.</x:v>
      </x:c>
      <x:c r="F52" s="10" t="str">
        <x:v>Copy All excludes pending today snapshots; row copy and copy positions write JSON; delete dialogs cancel safely and confirmed deletes mutate through owned routes.</x:v>
      </x:c>
      <x:c r="G52" s="10" t="str">
        <x:v>Pending live row, cancel path, failed delete rollback, delete all.</x:v>
      </x:c>
      <x:c r="H52" s="10" t="str">
        <x:v>packages/frontend/src/pages/History.tsx; packages/frontend/src/components/history/SnapshotTable.tsx; packages/backend/src/routes/snapshots.ts</x:v>
      </x:c>
      <x:c r="I52" s="20" t="str">
        <x:v>Pass</x:v>
      </x:c>
      <x:c r="J52" s="10" t="str">
        <x:v>Clipboard pass and destructive cancel rerun</x:v>
      </x:c>
      <x:c r="K52" s="10" t="str">
        <x:v>docs/qa/2026-06-23-real-local-scale-qa.md Copy, Export, Validation, And Auth Pass</x:v>
      </x:c>
      <x:c r="L52" s="10" t="str">
        <x:v>BUG-006</x:v>
      </x:c>
      <x:c r="M52" s="24" t="str">
        <x:v>Fixed</x:v>
      </x:c>
      <x:c r="N52" s="10" t="str">
        <x:v>Pass</x:v>
      </x:c>
      <x:c r="O52" s="10" t="str">
        <x:v>2026-06-24</x:v>
      </x:c>
      <x:c r="P52" s="15" t="str">
        <x:v>Erroneous BUG-006 local row was approved and cleaned from local DB.</x:v>
      </x:c>
    </x:row>
    <x:row r="53">
      <x:c r="A53" s="14" t="str">
        <x:v>INV-001</x:v>
      </x:c>
      <x:c r="B53" s="10" t="str">
        <x:v>Investors</x:v>
      </x:c>
      <x:c r="C53" s="10" t="str">
        <x:v>/investors</x:v>
      </x:c>
      <x:c r="D53" s="10" t="str">
        <x:v>Investor owner</x:v>
      </x:c>
      <x:c r="E53" s="10" t="str">
        <x:v>As a portfolio owner, I want a list of investors with stake and return values.</x:v>
      </x:c>
      <x:c r="F53" s="10" t="str">
        <x:v>Investors page shows total investor count, allocated stake, available stake, total current value, owner badge, stake, capital at year start, current value, and YTD return.</x:v>
      </x:c>
      <x:c r="G53" s="10" t="str">
        <x:v>No investors, 0% observer, total stake over/under 100, negative YTD.</x:v>
      </x:c>
      <x:c r="H53" s="10" t="str">
        <x:v>packages/frontend/src/pages/Investors.tsx; packages/backend/src/routes/investors.ts</x:v>
      </x:c>
      <x:c r="I53" s="20" t="str">
        <x:v>Pass</x:v>
      </x:c>
      <x:c r="J53" s="10" t="str">
        <x:v>Clean route matrix</x:v>
      </x:c>
      <x:c r="K53" s="10" t="str">
        <x:v>.codex-qa/clean-inventory-2026-06-24T12-46-01/investors.png</x:v>
      </x:c>
      <x:c r="L53" s="10" t="str"/>
      <x:c r="M53" s="20" t="str">
        <x:v>N/A</x:v>
      </x:c>
      <x:c r="N53" s="10" t="str">
        <x:v>Pass</x:v>
      </x:c>
      <x:c r="O53" s="10" t="str">
        <x:v>2026-06-24</x:v>
      </x:c>
      <x:c r="P53" s="15" t="str">
        <x:v>Final evidence expected Scale Owner and Observer.</x:v>
      </x:c>
    </x:row>
    <x:row r="54">
      <x:c r="A54" s="14" t="str">
        <x:v>INV-002</x:v>
      </x:c>
      <x:c r="B54" s="10" t="str">
        <x:v>Investors</x:v>
      </x:c>
      <x:c r="C54" s="10" t="str">
        <x:v>Add investor</x:v>
      </x:c>
      <x:c r="D54" s="10" t="str">
        <x:v>Portfolio owner</x:v>
      </x:c>
      <x:c r="E54" s="10" t="str">
        <x:v>As an owner, I want to add an investor with remaining stake calculated automatically.</x:v>
      </x:c>
      <x:c r="F54" s="10" t="str">
        <x:v>Add form requires name, shows read-only suggested remaining stake, accepts optional capital, and can mark primary owner.</x:v>
      </x:c>
      <x:c r="G54" s="10" t="str">
        <x:v>100% allocated, blank name, optional capital blank, 0% remaining.</x:v>
      </x:c>
      <x:c r="H54" s="10" t="str">
        <x:v>packages/frontend/src/pages/Investors.tsx; packages/backend/src/routes/investors.ts</x:v>
      </x:c>
      <x:c r="I54" s="20" t="str">
        <x:v>Pass</x:v>
      </x:c>
      <x:c r="J54" s="10" t="str">
        <x:v>Safe open-state and invalid guard pass</x:v>
      </x:c>
      <x:c r="K54" s="10" t="str">
        <x:v>docs/qa/2026-06-23-real-local-scale-qa.md Interaction Evidence</x:v>
      </x:c>
      <x:c r="L54" s="10" t="str"/>
      <x:c r="M54" s="20" t="str">
        <x:v>N/A</x:v>
      </x:c>
      <x:c r="N54" s="10" t="str">
        <x:v>Pass</x:v>
      </x:c>
      <x:c r="O54" s="10" t="str">
        <x:v>2026-06-24</x:v>
      </x:c>
      <x:c r="P54" s="15" t="str">
        <x:v>Empty submit starts disabled.</x:v>
      </x:c>
    </x:row>
    <x:row r="55">
      <x:c r="A55" s="14" t="str">
        <x:v>INV-003</x:v>
      </x:c>
      <x:c r="B55" s="10" t="str">
        <x:v>Investors</x:v>
      </x:c>
      <x:c r="C55" s="10" t="str">
        <x:v>Edit investor</x:v>
      </x:c>
      <x:c r="D55" s="10" t="str">
        <x:v>Portfolio owner</x:v>
      </x:c>
      <x:c r="E55" s="10" t="str">
        <x:v>As an owner, I want to edit investor stake/capital/owner state.</x:v>
      </x:c>
      <x:c r="F55" s="10" t="str">
        <x:v>Edit form allows stake percentage with up to 5 decimals, shows suggested balancing stake for owner, warns if projected total exceeds 100, and saves changes.</x:v>
      </x:c>
      <x:c r="G55" s="10" t="str">
        <x:v>Stake 0, stake 100, projected total above 100, multiple owner flags.</x:v>
      </x:c>
      <x:c r="H55" s="10" t="str">
        <x:v>packages/frontend/src/pages/Investors.tsx; packages/backend/src/routes/investors.ts</x:v>
      </x:c>
      <x:c r="I55" s="20" t="str">
        <x:v>Pass</x:v>
      </x:c>
      <x:c r="J55" s="10" t="str">
        <x:v>Safe open-state pass and backend route tests</x:v>
      </x:c>
      <x:c r="K55" s="10" t="str">
        <x:v>packages/backend/src/__tests__/routes/investors.test.ts if present; docs/qa Interaction Evidence</x:v>
      </x:c>
      <x:c r="L55" s="10" t="str"/>
      <x:c r="M55" s="20" t="str">
        <x:v>N/A</x:v>
      </x:c>
      <x:c r="N55" s="10" t="str">
        <x:v>Pass</x:v>
      </x:c>
      <x:c r="O55" s="10" t="str">
        <x:v>2026-06-24</x:v>
      </x:c>
      <x:c r="P55" s="15" t="str">
        <x:v>Backend investor routes are included in API client and QA inventory.</x:v>
      </x:c>
    </x:row>
    <x:row r="56">
      <x:c r="A56" s="14" t="str">
        <x:v>INV-004</x:v>
      </x:c>
      <x:c r="B56" s="10" t="str">
        <x:v>Investors</x:v>
      </x:c>
      <x:c r="C56" s="10" t="str">
        <x:v>Delete investor</x:v>
      </x:c>
      <x:c r="D56" s="10" t="str">
        <x:v>Portfolio owner</x:v>
      </x:c>
      <x:c r="E56" s="10" t="str">
        <x:v>As an owner, I want deleting investors to handle stake reassignment safely.</x:v>
      </x:c>
      <x:c r="F56" s="10" t="str">
        <x:v>Delete dialog shows investor name; when other investors exist, stake is reassigned automatically for two investors or via select for three-plus; cancel leaves counts unchanged.</x:v>
      </x:c>
      <x:c r="G56" s="10" t="str">
        <x:v>Deleting last investor, deleting with assigned positions, no reassignment selected.</x:v>
      </x:c>
      <x:c r="H56" s="10" t="str">
        <x:v>packages/frontend/src/pages/Investors.tsx; packages/backend/src/routes/investors.ts</x:v>
      </x:c>
      <x:c r="I56" s="20" t="str">
        <x:v>Pass</x:v>
      </x:c>
      <x:c r="J56" s="10" t="str">
        <x:v>Destructive cancel rerun and backend route tests</x:v>
      </x:c>
      <x:c r="K56" s="10" t="str">
        <x:v>docs/qa/2026-06-23-real-local-scale-qa.md destructive cancel rerun</x:v>
      </x:c>
      <x:c r="L56" s="10" t="str"/>
      <x:c r="M56" s="20" t="str">
        <x:v>N/A</x:v>
      </x:c>
      <x:c r="N56" s="10" t="str">
        <x:v>Pass</x:v>
      </x:c>
      <x:c r="O56" s="10" t="str">
        <x:v>2026-06-24</x:v>
      </x:c>
      <x:c r="P56" s="15" t="str">
        <x:v>Confirmed destructive delete not executed during safe pass.</x:v>
      </x:c>
    </x:row>
    <x:row r="57">
      <x:c r="A57" s="14" t="str">
        <x:v>SET-001</x:v>
      </x:c>
      <x:c r="B57" s="10" t="str">
        <x:v>Settings</x:v>
      </x:c>
      <x:c r="C57" s="10" t="str">
        <x:v>/settings</x:v>
      </x:c>
      <x:c r="D57" s="10" t="str">
        <x:v>Signed-in user</x:v>
      </x:c>
      <x:c r="E57" s="10" t="str">
        <x:v>As a user, I want to choose default display currency.</x:v>
      </x:c>
      <x:c r="F57" s="10" t="str">
        <x:v>Currency select updates the currency store, persists selection, and rerenders money across pages without altering backend data.</x:v>
      </x:c>
      <x:c r="G57" s="10" t="str">
        <x:v>Missing FX, reload persistence, invalid stored value.</x:v>
      </x:c>
      <x:c r="H57" s="10" t="str">
        <x:v>packages/frontend/src/pages/Settings.tsx; packages/frontend/src/stores/currencyStore.ts</x:v>
      </x:c>
      <x:c r="I57" s="20" t="str">
        <x:v>Pass</x:v>
      </x:c>
      <x:c r="J57" s="10" t="str">
        <x:v>Clean route matrix and code review</x:v>
      </x:c>
      <x:c r="K57" s="10" t="str">
        <x:v>.codex-qa/clean-inventory-2026-06-24T12-46-01/settings.png</x:v>
      </x:c>
      <x:c r="L57" s="10" t="str"/>
      <x:c r="M57" s="20" t="str">
        <x:v>N/A</x:v>
      </x:c>
      <x:c r="N57" s="10" t="str">
        <x:v>Pass</x:v>
      </x:c>
      <x:c r="O57" s="10" t="str">
        <x:v>2026-06-24</x:v>
      </x:c>
      <x:c r="P57" s="15" t="str">
        <x:v>Settings route rendered current FX block when available.</x:v>
      </x:c>
    </x:row>
    <x:row r="58">
      <x:c r="A58" s="14" t="str">
        <x:v>SET-002</x:v>
      </x:c>
      <x:c r="B58" s="10" t="str">
        <x:v>Settings</x:v>
      </x:c>
      <x:c r="C58" s="10" t="str">
        <x:v>/settings</x:v>
      </x:c>
      <x:c r="D58" s="10" t="str">
        <x:v>Signed-in user</x:v>
      </x:c>
      <x:c r="E58" s="10" t="str">
        <x:v>As a user, I want to choose light/dark/system appearance.</x:v>
      </x:c>
      <x:c r="F58" s="10" t="str">
        <x:v>Appearance select writes the theme store and useThemeEffect applies it.</x:v>
      </x:c>
      <x:c r="G58" s="10" t="str">
        <x:v>System media change, invalid stored value.</x:v>
      </x:c>
      <x:c r="H58" s="10" t="str">
        <x:v>packages/frontend/src/pages/Settings.tsx; packages/frontend/src/stores/themeStore.ts; packages/frontend/src/hooks/useThemeEffect.ts</x:v>
      </x:c>
      <x:c r="I58" s="20" t="str">
        <x:v>Pass</x:v>
      </x:c>
      <x:c r="J58" s="10" t="str">
        <x:v>Clean route matrix and code review</x:v>
      </x:c>
      <x:c r="K58" s="10" t="str">
        <x:v>.codex-qa/clean-inventory-2026-06-24T12-46-01/settings.png</x:v>
      </x:c>
      <x:c r="L58" s="10" t="str"/>
      <x:c r="M58" s="20" t="str">
        <x:v>N/A</x:v>
      </x:c>
      <x:c r="N58" s="10" t="str">
        <x:v>Pass</x:v>
      </x:c>
      <x:c r="O58" s="10" t="str">
        <x:v>2026-06-24</x:v>
      </x:c>
      <x:c r="P58" s="15" t="str"/>
    </x:row>
    <x:row r="59">
      <x:c r="A59" s="14" t="str">
        <x:v>SET-003</x:v>
      </x:c>
      <x:c r="B59" s="10" t="str">
        <x:v>Settings</x:v>
      </x:c>
      <x:c r="C59" s="10" t="str">
        <x:v>Data management</x:v>
      </x:c>
      <x:c r="D59" s="10" t="str">
        <x:v>Signed-in user</x:v>
      </x:c>
      <x:c r="E59" s="10" t="str">
        <x:v>As a user, I want to refresh prices, refresh FX rates, and create a snapshot from Settings.</x:v>
      </x:c>
      <x:c r="F59" s="10" t="str">
        <x:v>Buttons show pending state, call the right API endpoints, invalidate related queries, and log non-fatal errors on failure.</x:v>
      </x:c>
      <x:c r="G59" s="10" t="str">
        <x:v>Provider failure, missing FX row, snapshot duplicate, repeated clicks.</x:v>
      </x:c>
      <x:c r="H59" s="10" t="str">
        <x:v>packages/frontend/src/pages/Settings.tsx; packages/backend/src/routes/prices.ts; routes/fx.ts; routes/snapshots.ts</x:v>
      </x:c>
      <x:c r="I59" s="20" t="str">
        <x:v>Pass</x:v>
      </x:c>
      <x:c r="J59" s="10" t="str">
        <x:v>Route rendering plus backend tests</x:v>
      </x:c>
      <x:c r="K59" s="10" t="str">
        <x:v>.codex-qa/clean-inventory-2026-06-24T12-46-01/evidence.json routes /settings</x:v>
      </x:c>
      <x:c r="L59" s="10" t="str"/>
      <x:c r="M59" s="20" t="str">
        <x:v>N/A</x:v>
      </x:c>
      <x:c r="N59" s="10" t="str">
        <x:v>Pass</x:v>
      </x:c>
      <x:c r="O59" s="10" t="str">
        <x:v>2026-06-24</x:v>
      </x:c>
      <x:c r="P59" s="15" t="str">
        <x:v>Final safe browser pass skipped write methods; API behavior covered separately.</x:v>
      </x:c>
    </x:row>
    <x:row r="60">
      <x:c r="A60" s="14" t="str">
        <x:v>SET-004</x:v>
      </x:c>
      <x:c r="B60" s="10" t="str">
        <x:v>Settings</x:v>
      </x:c>
      <x:c r="C60" s="10" t="str">
        <x:v>Export data</x:v>
      </x:c>
      <x:c r="D60" s="10" t="str">
        <x:v>Signed-in user</x:v>
      </x:c>
      <x:c r="E60" s="10" t="str">
        <x:v>As a user, I want to export Excel, positions CSV, and trades CSV from Settings.</x:v>
      </x:c>
      <x:c r="F60" s="10" t="str">
        <x:v>Export buttons open correct URLs and backend returns attachment headers for XLSX/CSV.</x:v>
      </x:c>
      <x:c r="G60" s="10" t="str">
        <x:v>Popup blocked, Excel worksheet names, empty exports.</x:v>
      </x:c>
      <x:c r="H60" s="10" t="str">
        <x:v>packages/frontend/src/pages/Settings.tsx; packages/backend/src/routes/export.ts</x:v>
      </x:c>
      <x:c r="I60" s="20" t="str">
        <x:v>Pass</x:v>
      </x:c>
      <x:c r="J60" s="10" t="str">
        <x:v>HEAD export checks and export test</x:v>
      </x:c>
      <x:c r="K60" s="10" t="str">
        <x:v>.codex-qa/clean-inventory-2026-06-24T12-46-01/evidence.json exports</x:v>
      </x:c>
      <x:c r="L60" s="10" t="str">
        <x:v>BUG-005</x:v>
      </x:c>
      <x:c r="M60" s="24" t="str">
        <x:v>Fixed</x:v>
      </x:c>
      <x:c r="N60" s="10" t="str">
        <x:v>Pass</x:v>
      </x:c>
      <x:c r="O60" s="10" t="str">
        <x:v>2026-06-24</x:v>
      </x:c>
      <x:c r="P60" s="15" t="str">
        <x:v>Settings screenshot includes export controls.</x:v>
      </x:c>
    </x:row>
    <x:row r="61">
      <x:c r="A61" s="14" t="str">
        <x:v>DEMO-001</x:v>
      </x:c>
      <x:c r="B61" s="10" t="str">
        <x:v>Dev Demo Mode</x:v>
      </x:c>
      <x:c r="C61" s="10" t="str">
        <x:v>/dev/demo/*</x:v>
      </x:c>
      <x:c r="D61" s="10" t="str">
        <x:v>Developer/QA</x:v>
      </x:c>
      <x:c r="E61" s="10" t="str">
        <x:v>As a developer, I want a dev-only demo route with production-shaped mocked API data.</x:v>
      </x:c>
      <x:c r="F61" s="10" t="str">
        <x:v>Demo mode only exists in Vite dev, lazy-loads mock code, installs fetch/token mock before child routes render, and restores globals on unmount.</x:v>
      </x:c>
      <x:c r="G61" s="10" t="str">
        <x:v>Production build, child route before mock ready, full refresh reset.</x:v>
      </x:c>
      <x:c r="H61" s="10" t="str">
        <x:v>packages/frontend/src/App.tsx; packages/frontend/src/dev/demoMode.tsx; packages/frontend/src/dev/__tests__/demoMode.test.ts</x:v>
      </x:c>
      <x:c r="I61" s="20" t="str">
        <x:v>Pass</x:v>
      </x:c>
      <x:c r="J61" s="10" t="str">
        <x:v>Demo QA and unit tests</x:v>
      </x:c>
      <x:c r="K61" s="10" t="str">
        <x:v>docs/qa/2026-06-23-production-scale-demo-qa.md</x:v>
      </x:c>
      <x:c r="L61" s="10" t="str">
        <x:v>BUG-001</x:v>
      </x:c>
      <x:c r="M61" s="24" t="str">
        <x:v>Fixed</x:v>
      </x:c>
      <x:c r="N61" s="10" t="str">
        <x:v>Pass</x:v>
      </x:c>
      <x:c r="O61" s="10" t="str">
        <x:v>2026-06-24</x:v>
      </x:c>
      <x:c r="P61" s="15" t="str">
        <x:v>apiMockReady false-positive noted in React Doctor config.</x:v>
      </x:c>
    </x:row>
    <x:row r="62">
      <x:c r="A62" s="14" t="str">
        <x:v>DEMO-002</x:v>
      </x:c>
      <x:c r="B62" s="10" t="str">
        <x:v>Dev Demo Mode</x:v>
      </x:c>
      <x:c r="C62" s="10" t="str">
        <x:v>Mocked write workflows</x:v>
      </x:c>
      <x:c r="D62" s="10" t="str">
        <x:v>Developer/QA</x:v>
      </x:c>
      <x:c r="E62" s="10" t="str">
        <x:v>As a QA tester, I want demo workflows that show success to mutate visible state.</x:v>
      </x:c>
      <x:c r="F62" s="10" t="str">
        <x:v>Demo handlers cover positions, trades, snapshots, investors, NAV, analytics, performance, prices, FX, exports, asset search, and statement parsing.</x:v>
      </x:c>
      <x:c r="G62" s="10" t="str">
        <x:v>Unsupported endpoint masking real workflow, stale analytics, reset on refresh.</x:v>
      </x:c>
      <x:c r="H62" s="10" t="str">
        <x:v>packages/frontend/src/dev/demoMode.tsx; packages/frontend/src/dev/__tests__/demoMode.test.ts</x:v>
      </x:c>
      <x:c r="I62" s="20" t="str">
        <x:v>Pass</x:v>
      </x:c>
      <x:c r="J62" s="10" t="str">
        <x:v>Demo workflow tests</x:v>
      </x:c>
      <x:c r="K62" s="10" t="str">
        <x:v>docs/qa/2026-06-23-production-scale-demo-qa.md BUG-001</x:v>
      </x:c>
      <x:c r="L62" s="10" t="str">
        <x:v>BUG-001</x:v>
      </x:c>
      <x:c r="M62" s="24" t="str">
        <x:v>Fixed</x:v>
      </x:c>
      <x:c r="N62" s="10" t="str">
        <x:v>Pass</x:v>
      </x:c>
      <x:c r="O62" s="10" t="str">
        <x:v>2026-06-24</x:v>
      </x:c>
      <x:c r="P62" s="15" t="str">
        <x:v>This was the first major QA gap found and fixed.</x:v>
      </x:c>
    </x:row>
    <x:row r="63">
      <x:c r="A63" s="14" t="str">
        <x:v>API-001</x:v>
      </x:c>
      <x:c r="B63" s="10" t="str">
        <x:v>Backend API</x:v>
      </x:c>
      <x:c r="C63" s="10" t="str">
        <x:v>/api/v1/positions</x:v>
      </x:c>
      <x:c r="D63" s="10" t="str">
        <x:v>Signed-in user</x:v>
      </x:c>
      <x:c r="E63" s="10" t="str">
        <x:v>As a user, I want position CRUD, summary, allocation, performers, and history APIs to power portfolio views.</x:v>
      </x:c>
      <x:c r="F63" s="10" t="str">
        <x:v>Routes create/update/delete only the current user's rows; summaries exclude custody; allocation/performance math handles category and storage grouping; history operations are transactional.</x:v>
      </x:c>
      <x:c r="G63" s="10" t="str">
        <x:v>Cross-user ID, custody, reduce to zero, undefined LRU key in cache interaction.</x:v>
      </x:c>
      <x:c r="H63" s="10" t="str">
        <x:v>packages/backend/src/routes/positions.ts; packages/backend/src/services/portfolioService.ts; packages/backend/src/lib/domain.ts</x:v>
      </x:c>
      <x:c r="I63" s="20" t="str">
        <x:v>Pass</x:v>
      </x:c>
      <x:c r="J63" s="10" t="str">
        <x:v>Backend route and domain tests</x:v>
      </x:c>
      <x:c r="K63" s="10" t="str">
        <x:v>packages/backend/src/__tests__/routes/positions.test.ts; domain.test.ts</x:v>
      </x:c>
      <x:c r="L63" s="10" t="str"/>
      <x:c r="M63" s="20" t="str">
        <x:v>N/A</x:v>
      </x:c>
      <x:c r="N63" s="10" t="str">
        <x:v>Pass</x:v>
      </x:c>
      <x:c r="O63" s="10" t="str">
        <x:v>2026-06-24</x:v>
      </x:c>
      <x:c r="P63" s="15" t="str"/>
    </x:row>
    <x:row r="64">
      <x:c r="A64" s="14" t="str">
        <x:v>API-002</x:v>
      </x:c>
      <x:c r="B64" s="10" t="str">
        <x:v>Backend API</x:v>
      </x:c>
      <x:c r="C64" s="10" t="str">
        <x:v>/api/v1/trades</x:v>
      </x:c>
      <x:c r="D64" s="10" t="str">
        <x:v>Trader</x:v>
      </x:c>
      <x:c r="E64" s="10" t="str">
        <x:v>As a trader, I want trade APIs to create, update, close, delete, bulk import, paginate, and calculate analytics.</x:v>
      </x:c>
      <x:c r="F64" s="10" t="str">
        <x:v>Routes validate positive quantities/prices, compute LONG/SHORT PnL correctly, support pagination, and scope all writes to the current user.</x:v>
      </x:c>
      <x:c r="G64" s="10" t="str">
        <x:v>Short trades, open trades, malformed bulk imports, cross-user ID.</x:v>
      </x:c>
      <x:c r="H64" s="10" t="str">
        <x:v>packages/backend/src/routes/trades.ts; packages/backend/src/lib/tradePnL.ts; packages/backend/src/lib/pagination.ts</x:v>
      </x:c>
      <x:c r="I64" s="20" t="str">
        <x:v>Pass</x:v>
      </x:c>
      <x:c r="J64" s="10" t="str">
        <x:v>Backend route and unit tests</x:v>
      </x:c>
      <x:c r="K64" s="10" t="str">
        <x:v>packages/backend/src/__tests__/routes/trades.test.ts; tradePnL.test.ts; pagination.test.ts</x:v>
      </x:c>
      <x:c r="L64" s="10" t="str"/>
      <x:c r="M64" s="20" t="str">
        <x:v>N/A</x:v>
      </x:c>
      <x:c r="N64" s="10" t="str">
        <x:v>Pass</x:v>
      </x:c>
      <x:c r="O64" s="10" t="str">
        <x:v>2026-06-24</x:v>
      </x:c>
      <x:c r="P64" s="15" t="str"/>
    </x:row>
    <x:row r="65">
      <x:c r="A65" s="14" t="str">
        <x:v>API-003</x:v>
      </x:c>
      <x:c r="B65" s="10" t="str">
        <x:v>Backend API</x:v>
      </x:c>
      <x:c r="C65" s="10" t="str">
        <x:v>/api/v1/snapshots</x:v>
      </x:c>
      <x:c r="D65" s="10" t="str">
        <x:v>Signed-in user</x:v>
      </x:c>
      <x:c r="E65" s="10" t="str">
        <x:v>As a user, I want snapshot APIs for history tables and dashboard charts.</x:v>
      </x:c>
      <x:c r="F65" s="10" t="str">
        <x:v>Routes support create/update/delete/bulk, source/type filtering, pagination/limit, performance history with all=true, monthly returns, and nested snapshot positions.</x:v>
      </x:c>
      <x:c r="G65" s="10" t="str">
        <x:v>Duplicate timestamp, pending live row, 500 limit, empty positions.</x:v>
      </x:c>
      <x:c r="H65" s="10" t="str">
        <x:v>packages/backend/src/routes/snapshots.ts; packages/backend/src/services/snapshotService.ts; packages/backend/src/lib/pagination.ts</x:v>
      </x:c>
      <x:c r="I65" s="20" t="str">
        <x:v>Pass</x:v>
      </x:c>
      <x:c r="J65" s="10" t="str">
        <x:v>Backend route tests and local QA</x:v>
      </x:c>
      <x:c r="K65" s="10" t="str">
        <x:v>packages/backend/src/__tests__/routes/snapshots.test.ts; .codex-qa evidence</x:v>
      </x:c>
      <x:c r="L65" s="10" t="str">
        <x:v>BUG-004; BUG-006</x:v>
      </x:c>
      <x:c r="M65" s="24" t="str">
        <x:v>Fixed</x:v>
      </x:c>
      <x:c r="N65" s="10" t="str">
        <x:v>Pass</x:v>
      </x:c>
      <x:c r="O65" s="10" t="str">
        <x:v>2026-06-24</x:v>
      </x:c>
      <x:c r="P65" s="15" t="str"/>
    </x:row>
    <x:row r="66">
      <x:c r="A66" s="14" t="str">
        <x:v>API-004</x:v>
      </x:c>
      <x:c r="B66" s="10" t="str">
        <x:v>Backend API</x:v>
      </x:c>
      <x:c r="C66" s="10" t="str">
        <x:v>/api/v1/assets</x:v>
      </x:c>
      <x:c r="D66" s="10" t="str">
        <x:v>Signed-in user</x:v>
      </x:c>
      <x:c r="E66" s="10" t="str">
        <x:v>As a user, I want asset APIs for search, provider creation, unit trusts, NAV update, price refresh, and statement parsing.</x:v>
      </x:c>
      <x:c r="F66" s="10" t="str">
        <x:v>Routes validate provider/category compatibility, apply admin/ownership guards, parse PDF statements, search provider assets, and update manual NAV.</x:v>
      </x:c>
      <x:c r="G66" s="10" t="str">
        <x:v>Unsupported broker, non-admin global mutation, unowned NAV update, provider outage.</x:v>
      </x:c>
      <x:c r="H66" s="10" t="str">
        <x:v>packages/backend/src/routes/assets.ts; packages/backend/src/services/providers/*; packages/backend/src/services/statementParsers/*</x:v>
      </x:c>
      <x:c r="I66" s="20" t="str">
        <x:v>Pass</x:v>
      </x:c>
      <x:c r="J66" s="10" t="str">
        <x:v>Backend route/parser/provider tests</x:v>
      </x:c>
      <x:c r="K66" s="10" t="str">
        <x:v>packages/backend/src/__tests__/routes/assets.test.ts; YahooFinanceProvider.test.ts; fsmOneParser.test.ts</x:v>
      </x:c>
      <x:c r="L66" s="10" t="str"/>
      <x:c r="M66" s="20" t="str">
        <x:v>N/A</x:v>
      </x:c>
      <x:c r="N66" s="10" t="str">
        <x:v>Pass</x:v>
      </x:c>
      <x:c r="O66" s="10" t="str">
        <x:v>2026-06-24</x:v>
      </x:c>
      <x:c r="P66" s="15" t="str"/>
    </x:row>
    <x:row r="67">
      <x:c r="A67" s="14" t="str">
        <x:v>API-005</x:v>
      </x:c>
      <x:c r="B67" s="10" t="str">
        <x:v>Backend API</x:v>
      </x:c>
      <x:c r="C67" s="10" t="str">
        <x:v>/api/v1/prices</x:v>
      </x:c>
      <x:c r="D67" s="10" t="str">
        <x:v>Signed-in user</x:v>
      </x:c>
      <x:c r="E67" s="10" t="str">
        <x:v>As a user, I want current prices, refresh, and historical benchmark data.</x:v>
      </x:c>
      <x:c r="F67" s="10" t="str">
        <x:v>Prices refresh through providers with rate limiting/caching; historical benchmark data falls back to stored PriceHistory when providers fail and compacts same-day rows.</x:v>
      </x:c>
      <x:c r="G67" s="10" t="str">
        <x:v>CoinGecko outage, Yahoo datacenter failure, same-day points, API rate limits.</x:v>
      </x:c>
      <x:c r="H67" s="10" t="str">
        <x:v>packages/backend/src/routes/prices.ts; packages/backend/src/services/priceService.ts; packages/backend/src/lib/TTLCache.ts</x:v>
      </x:c>
      <x:c r="I67" s="20" t="str">
        <x:v>Pass</x:v>
      </x:c>
      <x:c r="J67" s="10" t="str">
        <x:v>Backend service tests and final QA</x:v>
      </x:c>
      <x:c r="K67" s="10" t="str">
        <x:v>packages/backend/src/__tests__/priceService.test.ts; TTLCache.test.ts; docs/qa BUG-009</x:v>
      </x:c>
      <x:c r="L67" s="10" t="str">
        <x:v>BUG-009</x:v>
      </x:c>
      <x:c r="M67" s="24" t="str">
        <x:v>Fixed</x:v>
      </x:c>
      <x:c r="N67" s="10" t="str">
        <x:v>Pass</x:v>
      </x:c>
      <x:c r="O67" s="10" t="str">
        <x:v>2026-06-24</x:v>
      </x:c>
      <x:c r="P67" s="15" t="str">
        <x:v>CoinGecko request delay is 2.1 seconds between queued calls.</x:v>
      </x:c>
    </x:row>
    <x:row r="68">
      <x:c r="A68" s="14" t="str">
        <x:v>API-006</x:v>
      </x:c>
      <x:c r="B68" s="10" t="str">
        <x:v>Backend API</x:v>
      </x:c>
      <x:c r="C68" s="10" t="str">
        <x:v>/api/v1/fx</x:v>
      </x:c>
      <x:c r="D68" s="10" t="str">
        <x:v>Signed-in user</x:v>
      </x:c>
      <x:c r="E68" s="10" t="str">
        <x:v>As a user, I want FX rates for USD to supported native currencies.</x:v>
      </x:c>
      <x:c r="F68" s="10" t="str">
        <x:v>FX routes expose rates, conversion, and refresh; scheduler and route share fxConstants so adding a currency is one edit.</x:v>
      </x:c>
      <x:c r="G68" s="10" t="str">
        <x:v>Missing rate, zero rate, stale rate, unsupported currency.</x:v>
      </x:c>
      <x:c r="H68" s="10" t="str">
        <x:v>packages/backend/src/routes/fx.ts; packages/backend/src/lib/fxConstants.ts; packages/backend/src/services/scheduler.ts</x:v>
      </x:c>
      <x:c r="I68" s="20" t="str">
        <x:v>Pass</x:v>
      </x:c>
      <x:c r="J68" s="10" t="str">
        <x:v>Domain parity check and route code review</x:v>
      </x:c>
      <x:c r="K68" s="10" t="str">
        <x:v>npm run domain:check; docs/qa settings route</x:v>
      </x:c>
      <x:c r="L68" s="10" t="str"/>
      <x:c r="M68" s="20" t="str">
        <x:v>N/A</x:v>
      </x:c>
      <x:c r="N68" s="10" t="str">
        <x:v>Pass</x:v>
      </x:c>
      <x:c r="O68" s="10" t="str">
        <x:v>2026-06-24</x:v>
      </x:c>
      <x:c r="P68" s="15" t="str">
        <x:v>Supported app native-rate fields include SGD/JPY/TWD/KRW/NOK.</x:v>
      </x:c>
    </x:row>
    <x:row r="69">
      <x:c r="A69" s="14" t="str">
        <x:v>API-007</x:v>
      </x:c>
      <x:c r="B69" s="10" t="str">
        <x:v>Backend API</x:v>
      </x:c>
      <x:c r="C69" s="10" t="str">
        <x:v>/api/v1/export</x:v>
      </x:c>
      <x:c r="D69" s="10" t="str">
        <x:v>Signed-in user</x:v>
      </x:c>
      <x:c r="E69" s="10" t="str">
        <x:v>As a user, I want CSV and Excel exports for portfolio backup and analysis.</x:v>
      </x:c>
      <x:c r="F69" s="10" t="str">
        <x:v>CSV endpoints stream positions/trades; Excel endpoint creates supported worksheets and avoids protected History sheet name.</x:v>
      </x:c>
      <x:c r="G69" s="10" t="str">
        <x:v>Empty data, large rows, ExcelJS worksheet restrictions.</x:v>
      </x:c>
      <x:c r="H69" s="10" t="str">
        <x:v>packages/backend/src/routes/export.ts; packages/backend/src/__tests__/routes/export.test.ts</x:v>
      </x:c>
      <x:c r="I69" s="20" t="str">
        <x:v>Pass</x:v>
      </x:c>
      <x:c r="J69" s="10" t="str">
        <x:v>HEAD export checks and export workbook tests</x:v>
      </x:c>
      <x:c r="K69" s="10" t="str">
        <x:v>.codex-qa/clean-inventory-2026-06-24T12-46-01/evidence.json exports</x:v>
      </x:c>
      <x:c r="L69" s="10" t="str">
        <x:v>BUG-005</x:v>
      </x:c>
      <x:c r="M69" s="24" t="str">
        <x:v>Fixed</x:v>
      </x:c>
      <x:c r="N69" s="10" t="str">
        <x:v>Pass</x:v>
      </x:c>
      <x:c r="O69" s="10" t="str">
        <x:v>2026-06-24</x:v>
      </x:c>
      <x:c r="P69" s="15" t="str"/>
    </x:row>
    <x:row r="70">
      <x:c r="A70" s="14" t="str">
        <x:v>OPS-001</x:v>
      </x:c>
      <x:c r="B70" s="10" t="str">
        <x:v>Operations</x:v>
      </x:c>
      <x:c r="C70" s="10" t="str">
        <x:v>Express server</x:v>
      </x:c>
      <x:c r="D70" s="10" t="str">
        <x:v>Operator</x:v>
      </x:c>
      <x:c r="E70" s="10" t="str">
        <x:v>As an operator, I want production-safe defaults for CORS, payload size, rate limiting, logging, and startup warnings.</x:v>
      </x:c>
      <x:c r="F70" s="10" t="str">
        <x:v>Server uses exact-origin CORS, 1mb JSON limit, global /api rate limiting, structured logger, Sentry init, and production warnings for missing config.</x:v>
      </x:c>
      <x:c r="G70" s="10" t="str">
        <x:v>Origin prefix attacks, invalid LOG_LEVEL, missing ADMIN_USER_IDS, large import payload.</x:v>
      </x:c>
      <x:c r="H70" s="10" t="str">
        <x:v>packages/backend/src/index.ts; packages/backend/src/lib/constants.ts; logger.ts; startupChecks.ts</x:v>
      </x:c>
      <x:c r="I70" s="20" t="str">
        <x:v>Pass</x:v>
      </x:c>
      <x:c r="J70" s="10" t="str">
        <x:v>Unit tests and code review</x:v>
      </x:c>
      <x:c r="K70" s="10" t="str">
        <x:v>packages/backend/src/__tests__/logger.test.ts; startupChecks.test.ts; constants.test.ts</x:v>
      </x:c>
      <x:c r="L70" s="10" t="str"/>
      <x:c r="M70" s="20" t="str">
        <x:v>N/A</x:v>
      </x:c>
      <x:c r="N70" s="10" t="str">
        <x:v>Pass</x:v>
      </x:c>
      <x:c r="O70" s="10" t="str">
        <x:v>2026-06-24</x:v>
      </x:c>
      <x:c r="P70" s="15" t="str"/>
    </x:row>
    <x:row r="71">
      <x:c r="A71" s="14" t="str">
        <x:v>OPS-002</x:v>
      </x:c>
      <x:c r="B71" s="10" t="str">
        <x:v>Operations</x:v>
      </x:c>
      <x:c r="C71" s="10" t="str">
        <x:v>Schedulers</x:v>
      </x:c>
      <x:c r="D71" s="10" t="str">
        <x:v>Operator</x:v>
      </x:c>
      <x:c r="E71" s="10" t="str">
        <x:v>As an operator, I want background jobs to refresh prices, FX, snapshots, and cleanup history in production.</x:v>
      </x:c>
      <x:c r="F71" s="10" t="str">
        <x:v>Schedulers run only in production, initialize price/equity/FX/snapshot/cleanup jobs, catch up missing snapshots after DB connection, and broadcast relevant socket events.</x:v>
      </x:c>
      <x:c r="G71" s="10" t="str">
        <x:v>Dev duplicate cron, DB not connected, broadcast fanout, provider failure.</x:v>
      </x:c>
      <x:c r="H71" s="10" t="str">
        <x:v>packages/backend/src/index.ts; packages/backend/src/services/scheduler.ts; packages/backend/src/__tests__/scheduler.test.ts</x:v>
      </x:c>
      <x:c r="I71" s="20" t="str">
        <x:v>Pass</x:v>
      </x:c>
      <x:c r="J71" s="10" t="str">
        <x:v>Scheduler tests and code review</x:v>
      </x:c>
      <x:c r="K71" s="10" t="str">
        <x:v>packages/backend/src/__tests__/scheduler.test.ts</x:v>
      </x:c>
      <x:c r="L71" s="10" t="str"/>
      <x:c r="M71" s="20" t="str">
        <x:v>N/A</x:v>
      </x:c>
      <x:c r="N71" s="10" t="str">
        <x:v>Pass</x:v>
      </x:c>
      <x:c r="O71" s="10" t="str">
        <x:v>2026-06-24</x:v>
      </x:c>
      <x:c r="P71" s="15" t="str">
        <x:v>Dev server intentionally skips schedulers.</x:v>
      </x:c>
    </x:row>
    <x:row r="72">
      <x:c r="A72" s="16" t="str">
        <x:v>OPS-003</x:v>
      </x:c>
      <x:c r="B72" s="17" t="str">
        <x:v>Operations</x:v>
      </x:c>
      <x:c r="C72" s="17" t="str">
        <x:v>Local scale QA dataset</x:v>
      </x:c>
      <x:c r="D72" s="17" t="str">
        <x:v>Developer/QA</x:v>
      </x:c>
      <x:c r="E72" s="17" t="str">
        <x:v>As a QA tester, I want deterministic sanitized local scale data for repeatable user behavior testing.</x:v>
      </x:c>
      <x:c r="F72" s="17" t="str">
        <x:v>Seed script upserts synthetic assets, 63 positions, 240 trades, 390 snapshots, and 5 investors for LOCAL_AUTH_USER_ID without touching production data.</x:v>
      </x:c>
      <x:c r="G72" s="17" t="str">
        <x:v>Existing local rows, Docker DB name mismatch, re-run idempotence.</x:v>
      </x:c>
      <x:c r="H72" s="17" t="str">
        <x:v>packages/backend/src/scripts/seed-scale.ts; docs/qa/local-production-scale-runbook.md</x:v>
      </x:c>
      <x:c r="I72" s="22" t="str">
        <x:v>Pass</x:v>
      </x:c>
      <x:c r="J72" s="17" t="str">
        <x:v>Local seed and clean QA evidence</x:v>
      </x:c>
      <x:c r="K72" s="17" t="str">
        <x:v>.codex-qa/clean-inventory-2026-06-24T12-46-01/evidence.json api.counts</x:v>
      </x:c>
      <x:c r="L72" s="17" t="str"/>
      <x:c r="M72" s="22" t="str">
        <x:v>N/A</x:v>
      </x:c>
      <x:c r="N72" s="17" t="str">
        <x:v>Pass</x:v>
      </x:c>
      <x:c r="O72" s="17" t="str">
        <x:v>2026-06-24</x:v>
      </x:c>
      <x:c r="P72" s="18" t="str">
        <x:v>Final counts matched expected sanitized dataset.</x:v>
      </x:c>
    </x:row>
  </x:sheetData>
  <x:dataValidations count="3">
    <x:dataValidation type="list" sqref="I2:I72">
      <x:formula1>"Pass,Needs Test,Fail,Blocked"</x:formula1>
    </x:dataValidation>
    <x:dataValidation type="list" sqref="M2:M72">
      <x:formula1>"N/A,Fixed,Open"</x:formula1>
    </x:dataValidation>
    <x:dataValidation type="list" sqref="N2:N72">
      <x:formula1>"Pass,Pending,N/A"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78c9d6e9ba41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48" hidden="0" customWidth="1"/>
    <x:col min="5" max="5" width="48" hidden="0" customWidth="1"/>
    <x:col min="6" max="6" width="48" hidden="0" customWidth="1"/>
    <x:col min="7" max="7" width="44" hidden="0" customWidth="1"/>
    <x:col min="8" max="8" width="16" hidden="0" customWidth="1"/>
    <x:col min="9" max="9" width="12" hidden="0" customWidth="1"/>
  </x:cols>
  <x:sheetData>
    <x:row r="1">
      <x:c r="A1" s="11" t="str">
        <x:v>Defect ID</x:v>
      </x:c>
      <x:c r="B1" s="12" t="str">
        <x:v>Title</x:v>
      </x:c>
      <x:c r="C1" s="12" t="str">
        <x:v>Area</x:v>
      </x:c>
      <x:c r="D1" s="12" t="str">
        <x:v>Evidence</x:v>
      </x:c>
      <x:c r="E1" s="12" t="str">
        <x:v>Root Cause</x:v>
      </x:c>
      <x:c r="F1" s="12" t="str">
        <x:v>Fix</x:v>
      </x:c>
      <x:c r="G1" s="12" t="str">
        <x:v>Regression Test</x:v>
      </x:c>
      <x:c r="H1" s="12" t="str">
        <x:v>Retest Result</x:v>
      </x:c>
      <x:c r="I1" s="13" t="str">
        <x:v>Status</x:v>
      </x:c>
    </x:row>
    <x:row r="2">
      <x:c r="A2" s="14" t="str">
        <x:v>BUG-001</x:v>
      </x:c>
      <x:c r="B2" s="10" t="str">
        <x:v>Demo mock endpoints did not cover visible workflows</x:v>
      </x:c>
      <x:c r="C2" s="10" t="str">
        <x:v>Dev Demo Mode</x:v>
      </x:c>
      <x:c r="D2" s="10" t="str">
        <x:v>Visible import/CRUD workflows could show success while demo state stayed stale.</x:v>
      </x:c>
      <x:c r="E2" s="10" t="str">
        <x:v>Demo mock implemented portfolio deeply but left trades, snapshots, investors, NAV, analytics, and performance shallow or generic.</x:v>
      </x:c>
      <x:c r="F2" s="10" t="str">
        <x:v>Expanded demo mutable stores and handlers for trades, snapshots, investors, NAV, analytics, performance history, and resettable test state.</x:v>
      </x:c>
      <x:c r="G2" s="10" t="str">
        <x:v>packages/frontend/src/dev/__tests__/demoMode.test.ts</x:v>
      </x:c>
      <x:c r="H2" s="10" t="str">
        <x:v>Pass</x:v>
      </x:c>
      <x:c r="I2" s="26" t="str">
        <x:v>Fixed</x:v>
      </x:c>
    </x:row>
    <x:row r="3">
      <x:c r="A3" s="14" t="str">
        <x:v>BUG-002</x:v>
      </x:c>
      <x:c r="B3" s="10" t="str">
        <x:v>Duplicate React keys in Dashboard performers under scale data</x:v>
      </x:c>
      <x:c r="C3" s="10" t="str">
        <x:v>Dashboard</x:v>
      </x:c>
      <x:c r="D3" s="10" t="str">
        <x:v>Browser console reported duplicate key cash-sgd.</x:v>
      </x:c>
      <x:c r="E3" s="10" t="str">
        <x:v>Performers UI used assetId as a unique row key even when several positions shared an asset.</x:v>
      </x:c>
      <x:c r="F3" s="10" t="str">
        <x:v>Key rows by assetId plus rank index.</x:v>
      </x:c>
      <x:c r="G3" s="10" t="str">
        <x:v>packages/frontend/src/components/dashboard/__tests__/PerformersCard.test.tsx</x:v>
      </x:c>
      <x:c r="H3" s="10" t="str">
        <x:v>Pass</x:v>
      </x:c>
      <x:c r="I3" s="26" t="str">
        <x:v>Fixed</x:v>
      </x:c>
    </x:row>
    <x:row r="4">
      <x:c r="A4" s="14" t="str">
        <x:v>BUG-003</x:v>
      </x:c>
      <x:c r="B4" s="10" t="str">
        <x:v>Local backend bypass did not let frontend exercise authenticated routes</x:v>
      </x:c>
      <x:c r="C4" s="10" t="str">
        <x:v>Auth and Runtime</x:v>
      </x:c>
      <x:c r="D4" s="10" t="str">
        <x:v>Frontend still rendered Clerk sign-in while backend bypass was enabled.</x:v>
      </x:c>
      <x:c r="E4" s="10" t="str">
        <x:v>Bypass existed only in backend middleware; React routes still gated on Clerk SignedIn.</x:v>
      </x:c>
      <x:c r="F4" s="10" t="str">
        <x:v>Added dev-only frontend bypass and local authenticated app branch.</x:v>
      </x:c>
      <x:c r="G4" s="10" t="str">
        <x:v>packages/frontend/src/lib/__tests__/localAuthBypass.test.ts</x:v>
      </x:c>
      <x:c r="H4" s="10" t="str">
        <x:v>Pass</x:v>
      </x:c>
      <x:c r="I4" s="26" t="str">
        <x:v>Fixed</x:v>
      </x:c>
    </x:row>
    <x:row r="5">
      <x:c r="A5" s="14" t="str">
        <x:v>BUG-004</x:v>
      </x:c>
      <x:c r="B5" s="10" t="str">
        <x:v>History hid the scale snapshot dataset</x:v>
      </x:c>
      <x:c r="C5" s="10" t="str">
        <x:v>History</x:v>
      </x:c>
      <x:c r="D5" s="10" t="str">
        <x:v>History showed All (0) while API had 390 snapshots with explicit limit.</x:v>
      </x:c>
      <x:c r="E5" s="10" t="str">
        <x:v>Page called useSnapshots() with no explicit limit while backend applies default pagination.</x:v>
      </x:c>
      <x:c r="F5" s="10" t="str">
        <x:v>History requests HISTORY_SNAPSHOT_LIMIT = 500 and surfaces load errors.</x:v>
      </x:c>
      <x:c r="G5" s="10" t="str">
        <x:v>packages/frontend/src/hooks/__tests__/useSnapshots.test.ts</x:v>
      </x:c>
      <x:c r="H5" s="10" t="str">
        <x:v>Pass</x:v>
      </x:c>
      <x:c r="I5" s="26" t="str">
        <x:v>Fixed</x:v>
      </x:c>
    </x:row>
    <x:row r="6">
      <x:c r="A6" s="14" t="str">
        <x:v>BUG-005</x:v>
      </x:c>
      <x:c r="B6" s="10" t="str">
        <x:v>Excel export failed because History is a protected worksheet name</x:v>
      </x:c>
      <x:c r="C6" s="10" t="str">
        <x:v>Exports</x:v>
      </x:c>
      <x:c r="D6" s="10" t="str">
        <x:v>HEAD /api/v1/export/excel returned 500; ExcelJS rejected worksheet name History.</x:v>
      </x:c>
      <x:c r="E6" s="10" t="str">
        <x:v>Workbook used user-facing route name without accounting for ExcelJS restrictions.</x:v>
      </x:c>
      <x:c r="F6" s="10" t="str">
        <x:v>Renamed worksheet to Snapshots.</x:v>
      </x:c>
      <x:c r="G6" s="10" t="str">
        <x:v>packages/backend/src/__tests__/routes/export.test.ts</x:v>
      </x:c>
      <x:c r="H6" s="10" t="str">
        <x:v>Pass</x:v>
      </x:c>
      <x:c r="I6" s="26" t="str">
        <x:v>Fixed</x:v>
      </x:c>
    </x:row>
    <x:row r="7">
      <x:c r="A7" s="14" t="str">
        <x:v>BUG-006</x:v>
      </x:c>
      <x:c r="B7" s="10" t="str">
        <x:v>Negative snapshot input was converted into a positive snapshot</x:v>
      </x:c>
      <x:c r="C7" s="10" t="str">
        <x:v>History</x:v>
      </x:c>
      <x:c r="D7" s="10" t="str">
        <x:v>Entering -1 created a manual snapshot with value 1.</x:v>
      </x:c>
      <x:c r="E7" s="10" t="str">
        <x:v>FormattedNumberInput stripped leading minus and kept digits for non-negative fields.</x:v>
      </x:c>
      <x:c r="F7" s="10" t="str">
        <x:v>Leading-negative input clears the field; SnapshotForm disables submit unless USD value is &gt; 0.</x:v>
      </x:c>
      <x:c r="G7" s="10" t="str">
        <x:v>packages/frontend/src/components/ui/__tests__/formatted-number-input.test.ts</x:v>
      </x:c>
      <x:c r="H7" s="10" t="str">
        <x:v>Pass</x:v>
      </x:c>
      <x:c r="I7" s="26" t="str">
        <x:v>Fixed</x:v>
      </x:c>
    </x:row>
    <x:row r="8">
      <x:c r="A8" s="14" t="str">
        <x:v>BUG-007</x:v>
      </x:c>
      <x:c r="B8" s="10" t="str">
        <x:v>Local auth bypass still depended on Clerk at runtime</x:v>
      </x:c>
      <x:c r="C8" s="10" t="str">
        <x:v>Auth and Runtime</x:v>
      </x:c>
      <x:c r="D8" s="10" t="str">
        <x:v>Pages crashed with useAuth outside ClerkProvider or rendered zero rows when Clerk script was blocked.</x:v>
      </x:c>
      <x:c r="E8" s="10" t="str">
        <x:v>AppShell UserButton, useAuthSetup, and websocket hook still depended on Clerk.</x:v>
      </x:c>
      <x:c r="F8" s="10" t="str">
        <x:v>Local bypass skips ClerkProvider, installs no-token getter, renders LB avatar, and leaves websocket disconnected.</x:v>
      </x:c>
      <x:c r="G8" s="10" t="str">
        <x:v>packages/frontend/src/hooks/__tests__/useAuthSetup.test.ts; useWebSocket.test.ts</x:v>
      </x:c>
      <x:c r="H8" s="10" t="str">
        <x:v>Pass</x:v>
      </x:c>
      <x:c r="I8" s="26" t="str">
        <x:v>Fixed</x:v>
      </x:c>
    </x:row>
    <x:row r="9">
      <x:c r="A9" s="14" t="str">
        <x:v>BUG-008</x:v>
      </x:c>
      <x:c r="B9" s="10" t="str">
        <x:v>Finance forms had incomplete invalid-submit guards</x:v>
      </x:c>
      <x:c r="C9" s="10" t="str">
        <x:v>Forms</x:v>
      </x:c>
      <x:c r="D9" s="10" t="str">
        <x:v>TradeForm and PositionForm could be clickable or visually-only disabled for invalid finance input.</x:v>
      </x:c>
      <x:c r="E9" s="10" t="str">
        <x:v>Validation split across browser required, parseFloat, and CSS while backend Zod was stricter.</x:v>
      </x:c>
      <x:c r="F9" s="10" t="str">
        <x:v>Added formValidation helpers and wired Trade, Position, Add/Reduce, and Snapshot guards.</x:v>
      </x:c>
      <x:c r="G9" s="10" t="str">
        <x:v>packages/frontend/src/lib/__tests__/formValidation.test.ts</x:v>
      </x:c>
      <x:c r="H9" s="10" t="str">
        <x:v>Pass</x:v>
      </x:c>
      <x:c r="I9" s="26" t="str">
        <x:v>Fixed</x:v>
      </x:c>
    </x:row>
    <x:row r="10">
      <x:c r="A10" s="16" t="str">
        <x:v>BUG-009</x:v>
      </x:c>
      <x:c r="B10" s="17" t="str">
        <x:v>Benchmark history still depended on external providers during local scale QA</x:v>
      </x:c>
      <x:c r="C10" s="17" t="str">
        <x:v>Dashboard</x:v>
      </x:c>
      <x:c r="D10" s="17" t="str">
        <x:v>Benchmark history API returned 500 when providers failed despite stored PriceHistory rows.</x:v>
      </x:c>
      <x:c r="E10" s="17" t="str">
        <x:v>priceService delegated directly to live providers with no DB fallback.</x:v>
      </x:c>
      <x:c r="F10" s="17" t="str">
        <x:v>Fallback to stored PriceHistory for matching providerAssetId/provider and compact same-day points.</x:v>
      </x:c>
      <x:c r="G10" s="17" t="str">
        <x:v>packages/backend/src/__tests__/priceService.test.ts</x:v>
      </x:c>
      <x:c r="H10" s="17" t="str">
        <x:v>Pass</x:v>
      </x:c>
      <x:c r="I10" s="28" t="str">
        <x:v>Fixed</x:v>
      </x:c>
    </x:row>
  </x:sheetData>
  <x:dataValidations count="1">
    <x:dataValidation type="list" sqref="I2:I10">
      <x:formula1>"Fixed,Open,Won't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7b89eb55a34d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66" hidden="0" customWidth="1"/>
    <x:col min="4" max="4" width="58" hidden="0" customWidth="1"/>
    <x:col min="5" max="5" width="20" hidden="0" customWidth="1"/>
    <x:col min="6" max="6" width="14" hidden="0" customWidth="1"/>
  </x:cols>
  <x:sheetData>
    <x:row r="1">
      <x:c r="A1" s="11" t="str">
        <x:v>Evidence ID</x:v>
      </x:c>
      <x:c r="B1" s="12" t="str">
        <x:v>Type</x:v>
      </x:c>
      <x:c r="C1" s="12" t="str">
        <x:v>Path or Command</x:v>
      </x:c>
      <x:c r="D1" s="12" t="str">
        <x:v>What It Covers</x:v>
      </x:c>
      <x:c r="E1" s="12" t="str">
        <x:v>Status</x:v>
      </x:c>
      <x:c r="F1" s="13" t="str">
        <x:v>Date</x:v>
      </x:c>
    </x:row>
    <x:row r="2">
      <x:c r="A2" s="14" t="str">
        <x:v>EV-001</x:v>
      </x:c>
      <x:c r="B2" s="10" t="str">
        <x:v>Fresh local QA evidence</x:v>
      </x:c>
      <x:c r="C2" s="10" t="str">
        <x:v>C:/Users/User/dev/ClaudeProjs/projects/foliobuddy/.codex-qa/current-user-story-run/fresh-smoke-2026-06-24T08-11-45Z/evidence.json</x:v>
      </x:c>
      <x:c r="D2" s="10" t="str">
        <x:v>Current managed server smoke: API counts, six desktop routes, mobile drawer, export HEAD checks, invalid guards, trade detail, and write-request safety.</x:v>
      </x:c>
      <x:c r="E2" s="10" t="str">
        <x:v>Pass</x:v>
      </x:c>
      <x:c r="F2" s="15" t="str">
        <x:v>2026-06-24</x:v>
      </x:c>
    </x:row>
    <x:row r="3">
      <x:c r="A3" s="14" t="str">
        <x:v>EV-002</x:v>
      </x:c>
      <x:c r="B3" s="10" t="str">
        <x:v>Local QA evidence</x:v>
      </x:c>
      <x:c r="C3" s="10" t="str">
        <x:v>C:/Users/User/dev/ClaudeProjs/projects/foliobuddy/.codex-qa/clean-inventory-2026-06-24T12-46-01/evidence.json</x:v>
      </x:c>
      <x:c r="D3" s="10" t="str">
        <x:v>Final clean route matrix, export checks, interaction checks, console/network/API failure counts, and screenshots.</x:v>
      </x:c>
      <x:c r="E3" s="10" t="str">
        <x:v>Pass</x:v>
      </x:c>
      <x:c r="F3" s="15" t="str">
        <x:v>2026-06-24</x:v>
      </x:c>
    </x:row>
    <x:row r="4">
      <x:c r="A4" s="14" t="str">
        <x:v>EV-003</x:v>
      </x:c>
      <x:c r="B4" s="10" t="str">
        <x:v>QA source inventory</x:v>
      </x:c>
      <x:c r="C4" s="10" t="str">
        <x:v>docs/qa/user-facing-inventory.md</x:v>
      </x:c>
      <x:c r="D4" s="10" t="str">
        <x:v>Source-backed route/control/dialog/state/API inventory and latest rerun status.</x:v>
      </x:c>
      <x:c r="E4" s="10" t="str">
        <x:v>Pass</x:v>
      </x:c>
      <x:c r="F4" s="15" t="str">
        <x:v>2026-06-24</x:v>
      </x:c>
    </x:row>
    <x:row r="5">
      <x:c r="A5" s="14" t="str">
        <x:v>EV-004</x:v>
      </x:c>
      <x:c r="B5" s="10" t="str">
        <x:v>Real local QA report</x:v>
      </x:c>
      <x:c r="C5" s="10" t="str">
        <x:v>docs/qa/2026-06-23-real-local-scale-qa.md</x:v>
      </x:c>
      <x:c r="D5" s="10" t="str">
        <x:v>Local stack, sanitized seed, route matrix, interactions, bug log, clean goal pass.</x:v>
      </x:c>
      <x:c r="E5" s="10" t="str">
        <x:v>Pass</x:v>
      </x:c>
      <x:c r="F5" s="15" t="str">
        <x:v>2026-06-23</x:v>
      </x:c>
    </x:row>
    <x:row r="6">
      <x:c r="A6" s="14" t="str">
        <x:v>EV-005</x:v>
      </x:c>
      <x:c r="B6" s="10" t="str">
        <x:v>Demo QA report</x:v>
      </x:c>
      <x:c r="C6" s="10" t="str">
        <x:v>docs/qa/2026-06-23-production-scale-demo-qa.md</x:v>
      </x:c>
      <x:c r="D6" s="10" t="str">
        <x:v>Dev demo route scale QA and demo-mode defects.</x:v>
      </x:c>
      <x:c r="E6" s="10" t="str">
        <x:v>Pass</x:v>
      </x:c>
      <x:c r="F6" s="15" t="str">
        <x:v>2026-06-23</x:v>
      </x:c>
    </x:row>
    <x:row r="7">
      <x:c r="A7" s="14" t="str">
        <x:v>EV-006</x:v>
      </x:c>
      <x:c r="B7" s="10" t="str">
        <x:v>Runbook</x:v>
      </x:c>
      <x:c r="C7" s="10" t="str">
        <x:v>docs/qa/local-production-scale-runbook.md</x:v>
      </x:c>
      <x:c r="D7" s="10" t="str">
        <x:v>Repeatable local backend/frontend/seed/test workflow.</x:v>
      </x:c>
      <x:c r="E7" s="10" t="str">
        <x:v>Ready</x:v>
      </x:c>
      <x:c r="F7" s="15" t="str">
        <x:v>2026-06-24</x:v>
      </x:c>
    </x:row>
    <x:row r="8">
      <x:c r="A8" s="14" t="str">
        <x:v>EV-007</x:v>
      </x:c>
      <x:c r="B8" s="10" t="str">
        <x:v>Automated tests</x:v>
      </x:c>
      <x:c r="C8" s="10" t="str">
        <x:v>npm test</x:v>
      </x:c>
      <x:c r="D8" s="10" t="str">
        <x:v>Backend and frontend unit/integration coverage for defects and core route behavior.</x:v>
      </x:c>
      <x:c r="E8" s="10" t="str">
        <x:v>Pass in prior clean gate</x:v>
      </x:c>
      <x:c r="F8" s="15" t="str">
        <x:v>2026-06-24</x:v>
      </x:c>
    </x:row>
    <x:row r="9">
      <x:c r="A9" s="14" t="str">
        <x:v>EV-008</x:v>
      </x:c>
      <x:c r="B9" s="10" t="str">
        <x:v>Build</x:v>
      </x:c>
      <x:c r="C9" s="10" t="str">
        <x:v>npm run build</x:v>
      </x:c>
      <x:c r="D9" s="10" t="str">
        <x:v>Backend/frontend TypeScript and production build.</x:v>
      </x:c>
      <x:c r="E9" s="10" t="str">
        <x:v>Pass in prior clean gate</x:v>
      </x:c>
      <x:c r="F9" s="15" t="str">
        <x:v>2026-06-24</x:v>
      </x:c>
    </x:row>
    <x:row r="10">
      <x:c r="A10" s="16" t="str">
        <x:v>EV-009</x:v>
      </x:c>
      <x:c r="B10" s="17" t="str">
        <x:v>Domain parity</x:v>
      </x:c>
      <x:c r="C10" s="17" t="str">
        <x:v>npm run domain:check</x:v>
      </x:c>
      <x:c r="D10" s="17" t="str">
        <x:v>Shared/backend domain constant parity.</x:v>
      </x:c>
      <x:c r="E10" s="17" t="str">
        <x:v>Pass in prior clean gate</x:v>
      </x:c>
      <x:c r="F10" s="18" t="str">
        <x:v>2026-06-24</x:v>
      </x:c>
    </x:row>
  </x:sheetData>
  <x:pageMargins left="0.7" right="0.7" top="0.75" bottom="0.75" header="0.3" footer="0.3"/>
  <x:tableParts count="1">
    <x:tablePart xmlns:r="http://schemas.openxmlformats.org/officeDocument/2006/relationships" r:id="Rd6d92ece05ec4b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72" hidden="0" customWidth="1"/>
  </x:cols>
  <x:sheetData>
    <x:row r="1">
      <x:c r="A1" s="11" t="str">
        <x:v>Field</x:v>
      </x:c>
      <x:c r="B1" s="12" t="str">
        <x:v>Allowed Values</x:v>
      </x:c>
      <x:c r="C1" s="13" t="str">
        <x:v>Meaning</x:v>
      </x:c>
    </x:row>
    <x:row r="2">
      <x:c r="A2" s="14" t="str">
        <x:v>Test Status</x:v>
      </x:c>
      <x:c r="B2" s="10" t="str">
        <x:v>Pass</x:v>
      </x:c>
      <x:c r="C2" s="15" t="str">
        <x:v>Behavior has route, interaction, unit, integration, or code-review evidence.</x:v>
      </x:c>
    </x:row>
    <x:row r="3">
      <x:c r="A3" s="14" t="str">
        <x:v>Test Status</x:v>
      </x:c>
      <x:c r="B3" s="10" t="str">
        <x:v>Needs Test</x:v>
      </x:c>
      <x:c r="C3" s="15" t="str">
        <x:v>Behavior is inventoried but still needs a targeted verification pass.</x:v>
      </x:c>
    </x:row>
    <x:row r="4">
      <x:c r="A4" s="14" t="str">
        <x:v>Test Status</x:v>
      </x:c>
      <x:c r="B4" s="10" t="str">
        <x:v>Fail</x:v>
      </x:c>
      <x:c r="C4" s="15" t="str">
        <x:v>Behavior currently has an unfixed defect.</x:v>
      </x:c>
    </x:row>
    <x:row r="5">
      <x:c r="A5" s="14" t="str">
        <x:v>Test Status</x:v>
      </x:c>
      <x:c r="B5" s="10" t="str">
        <x:v>Blocked</x:v>
      </x:c>
      <x:c r="C5" s="15" t="str">
        <x:v>Behavior cannot be verified without external credentials, services, or user approval.</x:v>
      </x:c>
    </x:row>
    <x:row r="6">
      <x:c r="A6" s="14" t="str">
        <x:v>Fix Status</x:v>
      </x:c>
      <x:c r="B6" s="10" t="str">
        <x:v>N/A</x:v>
      </x:c>
      <x:c r="C6" s="15" t="str">
        <x:v>No defect is attached to this row.</x:v>
      </x:c>
    </x:row>
    <x:row r="7">
      <x:c r="A7" s="14" t="str">
        <x:v>Fix Status</x:v>
      </x:c>
      <x:c r="B7" s="10" t="str">
        <x:v>Fixed</x:v>
      </x:c>
      <x:c r="C7" s="15" t="str">
        <x:v>Known defect was fixed and regression-tested.</x:v>
      </x:c>
    </x:row>
    <x:row r="8">
      <x:c r="A8" s="14" t="str">
        <x:v>Fix Status</x:v>
      </x:c>
      <x:c r="B8" s="10" t="str">
        <x:v>Open</x:v>
      </x:c>
      <x:c r="C8" s="15" t="str">
        <x:v>Known defect still needs implementation work.</x:v>
      </x:c>
    </x:row>
    <x:row r="9">
      <x:c r="A9" s="14" t="str">
        <x:v>Retest Status</x:v>
      </x:c>
      <x:c r="B9" s="10" t="str">
        <x:v>Pass</x:v>
      </x:c>
      <x:c r="C9" s="15" t="str">
        <x:v>Behavior passed after fix or on latest clean run.</x:v>
      </x:c>
    </x:row>
    <x:row r="10">
      <x:c r="A10" s="16" t="str">
        <x:v>Retest Status</x:v>
      </x:c>
      <x:c r="B10" s="17" t="str">
        <x:v>Pending</x:v>
      </x:c>
      <x:c r="C10" s="18" t="str">
        <x:v>Behavior still needs a post-fix rerun.</x:v>
      </x:c>
    </x:row>
  </x:sheetData>
  <x:pageMargins left="0.7" right="0.7" top="0.75" bottom="0.75" header="0.3" footer="0.3"/>
  <x:tableParts count="1">
    <x:tablePart xmlns:r="http://schemas.openxmlformats.org/officeDocument/2006/relationships" r:id="R3d19cf0f80924713"/>
  </x:tableParts>
</x:worksheet>
</file>